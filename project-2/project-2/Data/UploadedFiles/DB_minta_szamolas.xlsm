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372AB895-14C1-FC20-EB20-F1B4BCFD95AE}"/>
  <workbookPr filterPrivacy="1" codeName="ThisWorkbook" defaultThemeVersion="124226"/>
  <xr:revisionPtr revIDLastSave="0" documentId="13_ncr:1_{5A58B336-BE4E-45F5-AF6A-13F064E2EE36}" xr6:coauthVersionLast="47" xr6:coauthVersionMax="47" xr10:uidLastSave="{00000000-0000-0000-0000-000000000000}"/>
  <bookViews>
    <workbookView xWindow="28680" yWindow="-120" windowWidth="29040" windowHeight="15840" tabRatio="781" activeTab="1" xr2:uid="{00000000-000D-0000-FFFF-FFFF00000000}"/>
  </bookViews>
  <sheets>
    <sheet name="Minták" sheetId="16" r:id="rId1"/>
    <sheet name="HUMVI" sheetId="29" r:id="rId2"/>
    <sheet name="MV" sheetId="27" r:id="rId3"/>
    <sheet name="MVj" sheetId="28" r:id="rId4"/>
    <sheet name="NH4" sheetId="5" r:id="rId5"/>
    <sheet name="NO3" sheetId="3" r:id="rId6"/>
    <sheet name="NO2" sheetId="2" r:id="rId7"/>
    <sheet name="Fe" sheetId="19" r:id="rId8"/>
    <sheet name="Mn" sheetId="20" r:id="rId9"/>
    <sheet name="pH,EC" sheetId="10" r:id="rId10"/>
    <sheet name="KOIps" sheetId="18" r:id="rId11"/>
    <sheet name="Cl" sheetId="21" r:id="rId12"/>
    <sheet name="Lúgosság" sheetId="22" r:id="rId13"/>
    <sheet name="ÖK" sheetId="23" r:id="rId14"/>
    <sheet name="SO4" sheetId="25" r:id="rId15"/>
    <sheet name="TEMP" sheetId="17" r:id="rId16"/>
    <sheet name="mintahelyek" sheetId="26" r:id="rId17"/>
  </sheets>
  <definedNames>
    <definedName name="_xlnm.Print_Area" localSheetId="11">Cl!$L$1:$U$28</definedName>
    <definedName name="_xlnm.Print_Area" localSheetId="7">Fe!$L$1:$V$29</definedName>
    <definedName name="_xlnm.Print_Area" localSheetId="1">HUMVI!#REF!</definedName>
    <definedName name="_xlnm.Print_Area" localSheetId="10">KOIps!$L$1:$U$28</definedName>
    <definedName name="_xlnm.Print_Area" localSheetId="12">Lúgosság!$L$1:$U$28</definedName>
    <definedName name="_xlnm.Print_Area" localSheetId="0">Minták!$CJ$3:$DC$28</definedName>
    <definedName name="_xlnm.Print_Area" localSheetId="8">Mn!$L$1:$V$29</definedName>
    <definedName name="_xlnm.Print_Area" localSheetId="2">MV!$Z$1:$AH$26</definedName>
    <definedName name="_xlnm.Print_Area" localSheetId="3">MVj!$BG$1:$CC$45</definedName>
    <definedName name="_xlnm.Print_Area" localSheetId="4">'NH4'!$L$1:$V$29</definedName>
    <definedName name="_xlnm.Print_Area" localSheetId="6">'NO2'!$L$1:$V$29</definedName>
    <definedName name="_xlnm.Print_Area" localSheetId="5">'NO3'!$L$1:$V$29</definedName>
    <definedName name="_xlnm.Print_Area" localSheetId="13">ÖK!$L$1:$U$28</definedName>
    <definedName name="_xlnm.Print_Area" localSheetId="9">'pH,EC'!$L$1:$R$58</definedName>
    <definedName name="_xlnm.Print_Area" localSheetId="14">'SO4'!$L$1:$S$28</definedName>
    <definedName name="_xlnm.Print_Area" localSheetId="15">TEMP!#REF!</definedName>
  </definedNames>
  <calcPr calcId="191029" iterate="1" iterateCount="1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T27" i="29" l="1"/>
  <c r="BS27" i="29"/>
  <c r="BR27" i="29"/>
  <c r="BT26" i="29"/>
  <c r="BS26" i="29"/>
  <c r="BR26" i="29"/>
  <c r="BT25" i="29"/>
  <c r="BS25" i="29"/>
  <c r="BR25" i="29"/>
  <c r="BT24" i="29"/>
  <c r="BS24" i="29"/>
  <c r="BR24" i="29"/>
  <c r="BT23" i="29"/>
  <c r="BS23" i="29"/>
  <c r="BR23" i="29"/>
  <c r="BT22" i="29"/>
  <c r="BS22" i="29"/>
  <c r="BR22" i="29"/>
  <c r="BT21" i="29"/>
  <c r="BS21" i="29"/>
  <c r="BR21" i="29"/>
  <c r="BT20" i="29"/>
  <c r="BS20" i="29"/>
  <c r="BR20" i="29"/>
  <c r="BT19" i="29"/>
  <c r="BS19" i="29"/>
  <c r="BR19" i="29"/>
  <c r="BT18" i="29"/>
  <c r="BS18" i="29"/>
  <c r="BR18" i="29"/>
  <c r="BT17" i="29"/>
  <c r="BS17" i="29"/>
  <c r="BR17" i="29"/>
  <c r="BT16" i="29"/>
  <c r="BS16" i="29"/>
  <c r="BR16" i="29"/>
  <c r="BT15" i="29"/>
  <c r="BS15" i="29"/>
  <c r="BR15" i="29"/>
  <c r="BT14" i="29"/>
  <c r="BS14" i="29"/>
  <c r="BR14" i="29"/>
  <c r="BT13" i="29"/>
  <c r="BS13" i="29"/>
  <c r="BR13" i="29"/>
  <c r="BT12" i="29"/>
  <c r="BS12" i="29"/>
  <c r="BR12" i="29"/>
  <c r="V20" i="16" l="1"/>
  <c r="V19" i="16"/>
  <c r="V18" i="16"/>
  <c r="V17" i="16"/>
  <c r="V16" i="16"/>
  <c r="V15" i="16"/>
  <c r="V14" i="16"/>
  <c r="V13" i="16"/>
  <c r="V12" i="16"/>
  <c r="V11" i="16"/>
  <c r="V10" i="16"/>
  <c r="V9" i="16"/>
  <c r="V8" i="16"/>
  <c r="V7" i="16"/>
  <c r="V6" i="16"/>
  <c r="V5" i="16"/>
  <c r="U20" i="16"/>
  <c r="AB27" i="29" s="1"/>
  <c r="U19" i="16"/>
  <c r="AB26" i="29" s="1"/>
  <c r="U18" i="16"/>
  <c r="AB25" i="29" s="1"/>
  <c r="U17" i="16"/>
  <c r="U16" i="16"/>
  <c r="AB23" i="29" s="1"/>
  <c r="U15" i="16"/>
  <c r="AB22" i="29" s="1"/>
  <c r="U14" i="16"/>
  <c r="AB21" i="29" s="1"/>
  <c r="U13" i="16"/>
  <c r="AB20" i="29" s="1"/>
  <c r="U12" i="16"/>
  <c r="AB19" i="29" s="1"/>
  <c r="U11" i="16"/>
  <c r="U10" i="16"/>
  <c r="AB17" i="29" s="1"/>
  <c r="U9" i="16"/>
  <c r="AB16" i="29" s="1"/>
  <c r="U8" i="16"/>
  <c r="AB15" i="29" s="1"/>
  <c r="U7" i="16"/>
  <c r="AB14" i="29" s="1"/>
  <c r="U6" i="16"/>
  <c r="AB13" i="29" s="1"/>
  <c r="U5" i="16"/>
  <c r="O9" i="16"/>
  <c r="J16" i="29" s="1"/>
  <c r="O8" i="16"/>
  <c r="J15" i="29" s="1"/>
  <c r="O7" i="16"/>
  <c r="J14" i="29" s="1"/>
  <c r="N9" i="16"/>
  <c r="M16" i="29" s="1"/>
  <c r="N8" i="16"/>
  <c r="M15" i="29" s="1"/>
  <c r="N7" i="16"/>
  <c r="M14" i="29" s="1"/>
  <c r="AB24" i="29"/>
  <c r="AB18" i="29"/>
  <c r="AE27" i="29" l="1"/>
  <c r="AE26" i="29"/>
  <c r="AE25" i="29"/>
  <c r="AE24" i="29"/>
  <c r="AE23" i="29"/>
  <c r="AE22" i="29"/>
  <c r="AE21" i="29"/>
  <c r="AE20" i="29"/>
  <c r="AE19" i="29"/>
  <c r="AE18" i="29"/>
  <c r="AE17" i="29"/>
  <c r="AE16" i="29"/>
  <c r="AE15" i="29"/>
  <c r="AE14" i="29"/>
  <c r="AE13" i="29"/>
  <c r="AE12" i="29"/>
  <c r="AA27" i="29"/>
  <c r="AA26" i="29"/>
  <c r="AA25" i="29"/>
  <c r="AA24" i="29"/>
  <c r="AA23" i="29"/>
  <c r="AA22" i="29"/>
  <c r="AA21" i="29"/>
  <c r="AA20" i="29"/>
  <c r="AA19" i="29"/>
  <c r="AA18" i="29"/>
  <c r="AA17" i="29"/>
  <c r="AA16" i="29"/>
  <c r="AA15" i="29"/>
  <c r="AA14" i="29"/>
  <c r="AA13" i="29"/>
  <c r="AA12" i="29"/>
  <c r="Z27" i="29"/>
  <c r="Z26" i="29"/>
  <c r="Z25" i="29"/>
  <c r="Z24" i="29"/>
  <c r="Z23" i="29"/>
  <c r="Z22" i="29"/>
  <c r="Z21" i="29"/>
  <c r="Z20" i="29"/>
  <c r="Z19" i="29"/>
  <c r="Z18" i="29"/>
  <c r="Z17" i="29"/>
  <c r="Z16" i="29"/>
  <c r="Z15" i="29"/>
  <c r="Z14" i="29"/>
  <c r="Z13" i="29"/>
  <c r="Z12" i="29"/>
  <c r="N12" i="29"/>
  <c r="K16" i="29"/>
  <c r="K15" i="29"/>
  <c r="K14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O12" i="29" l="1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E8" i="23"/>
  <c r="E9" i="23" s="1"/>
  <c r="E10" i="23" s="1"/>
  <c r="E11" i="23" s="1"/>
  <c r="E12" i="23" s="1"/>
  <c r="E13" i="23" s="1"/>
  <c r="E14" i="23" s="1"/>
  <c r="E15" i="23" s="1"/>
  <c r="E16" i="23" s="1"/>
  <c r="E17" i="23" s="1"/>
  <c r="E18" i="23" s="1"/>
  <c r="E19" i="23" s="1"/>
  <c r="E20" i="23" s="1"/>
  <c r="E21" i="23" s="1"/>
  <c r="E22" i="23" s="1"/>
  <c r="E7" i="23"/>
  <c r="C22" i="23"/>
  <c r="C7" i="23"/>
  <c r="C8" i="23" s="1"/>
  <c r="C9" i="23" s="1"/>
  <c r="C10" i="23" s="1"/>
  <c r="C11" i="23" s="1"/>
  <c r="C12" i="23" s="1"/>
  <c r="C13" i="23" s="1"/>
  <c r="C14" i="23" s="1"/>
  <c r="C15" i="23" s="1"/>
  <c r="C16" i="23" s="1"/>
  <c r="C17" i="23" s="1"/>
  <c r="C18" i="23" s="1"/>
  <c r="C19" i="23" s="1"/>
  <c r="C20" i="23" s="1"/>
  <c r="C21" i="23" s="1"/>
  <c r="C8" i="22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7" i="22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8" i="18"/>
  <c r="C9" i="18" s="1"/>
  <c r="C10" i="18" s="1"/>
  <c r="C11" i="18" s="1"/>
  <c r="C12" i="18" s="1"/>
  <c r="C13" i="18" s="1"/>
  <c r="C14" i="18" s="1"/>
  <c r="C15" i="18" s="1"/>
  <c r="C16" i="18" s="1"/>
  <c r="C17" i="18" s="1"/>
  <c r="C18" i="18" s="1"/>
  <c r="C19" i="18" s="1"/>
  <c r="C20" i="18" s="1"/>
  <c r="C21" i="18" s="1"/>
  <c r="C22" i="18" s="1"/>
  <c r="C7" i="18"/>
  <c r="Q9" i="27"/>
  <c r="Q10" i="27" s="1"/>
  <c r="Q11" i="27" s="1"/>
  <c r="Q12" i="27" s="1"/>
  <c r="Q13" i="27" s="1"/>
  <c r="Q14" i="27" s="1"/>
  <c r="Q15" i="27" s="1"/>
  <c r="Q16" i="27" s="1"/>
  <c r="Q17" i="27" s="1"/>
  <c r="Q18" i="27" s="1"/>
  <c r="Q19" i="27" s="1"/>
  <c r="Q20" i="27" s="1"/>
  <c r="Q21" i="27" s="1"/>
  <c r="Q22" i="27" s="1"/>
  <c r="P9" i="27"/>
  <c r="P10" i="27" s="1"/>
  <c r="P11" i="27" s="1"/>
  <c r="P12" i="27" s="1"/>
  <c r="P13" i="27" s="1"/>
  <c r="P14" i="27" s="1"/>
  <c r="P15" i="27" s="1"/>
  <c r="P16" i="27" s="1"/>
  <c r="P17" i="27" s="1"/>
  <c r="P18" i="27" s="1"/>
  <c r="P19" i="27" s="1"/>
  <c r="P20" i="27" s="1"/>
  <c r="P21" i="27" s="1"/>
  <c r="P22" i="27" s="1"/>
  <c r="Q8" i="27"/>
  <c r="P8" i="27"/>
  <c r="F39" i="10"/>
  <c r="F40" i="10" s="1"/>
  <c r="F41" i="10" s="1"/>
  <c r="F42" i="10" s="1"/>
  <c r="F43" i="10" s="1"/>
  <c r="F44" i="10" s="1"/>
  <c r="F45" i="10" s="1"/>
  <c r="F46" i="10" s="1"/>
  <c r="F47" i="10" s="1"/>
  <c r="F48" i="10" s="1"/>
  <c r="F49" i="10" s="1"/>
  <c r="F50" i="10" s="1"/>
  <c r="F51" i="10" s="1"/>
  <c r="F52" i="10" s="1"/>
  <c r="E39" i="10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D39" i="10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C39" i="10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F38" i="10"/>
  <c r="E38" i="10"/>
  <c r="D38" i="10"/>
  <c r="C38" i="10"/>
  <c r="C37" i="10"/>
  <c r="C8" i="20"/>
  <c r="C9" i="20" s="1"/>
  <c r="C10" i="20" s="1"/>
  <c r="C11" i="20" s="1"/>
  <c r="C12" i="20" s="1"/>
  <c r="C13" i="20" s="1"/>
  <c r="C14" i="20" s="1"/>
  <c r="C15" i="20" s="1"/>
  <c r="C16" i="20" s="1"/>
  <c r="C17" i="20" s="1"/>
  <c r="C18" i="20" s="1"/>
  <c r="C19" i="20" s="1"/>
  <c r="C20" i="20" s="1"/>
  <c r="C21" i="20" s="1"/>
  <c r="C22" i="20" s="1"/>
  <c r="C23" i="20" s="1"/>
  <c r="C24" i="20" s="1"/>
  <c r="C8" i="19"/>
  <c r="C9" i="19" s="1"/>
  <c r="C10" i="19" s="1"/>
  <c r="C11" i="19" s="1"/>
  <c r="C12" i="19" s="1"/>
  <c r="C13" i="19" s="1"/>
  <c r="C14" i="19" s="1"/>
  <c r="C15" i="19" s="1"/>
  <c r="C16" i="19" s="1"/>
  <c r="C17" i="19" s="1"/>
  <c r="C18" i="19" s="1"/>
  <c r="C19" i="19" s="1"/>
  <c r="C20" i="19" s="1"/>
  <c r="C21" i="19" s="1"/>
  <c r="C22" i="19" s="1"/>
  <c r="C23" i="19" s="1"/>
  <c r="C24" i="19" s="1"/>
  <c r="C8" i="2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8" i="3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9" i="5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8" i="5"/>
  <c r="L7" i="27"/>
  <c r="G12" i="29" s="1"/>
  <c r="E6" i="16"/>
  <c r="H20" i="16"/>
  <c r="H19" i="16"/>
  <c r="H18" i="16"/>
  <c r="H17" i="16"/>
  <c r="H16" i="16"/>
  <c r="H15" i="16"/>
  <c r="H14" i="16"/>
  <c r="H13" i="16"/>
  <c r="H12" i="16"/>
  <c r="H11" i="16"/>
  <c r="H10" i="16"/>
  <c r="H9" i="16"/>
  <c r="H8" i="16"/>
  <c r="H7" i="16"/>
  <c r="H6" i="16"/>
  <c r="F20" i="16"/>
  <c r="W27" i="29" s="1"/>
  <c r="F19" i="16"/>
  <c r="W26" i="29" s="1"/>
  <c r="F18" i="16"/>
  <c r="W25" i="29" s="1"/>
  <c r="F17" i="16"/>
  <c r="W24" i="29" s="1"/>
  <c r="F16" i="16"/>
  <c r="W23" i="29" s="1"/>
  <c r="F15" i="16"/>
  <c r="W22" i="29" s="1"/>
  <c r="F14" i="16"/>
  <c r="W21" i="29" s="1"/>
  <c r="F13" i="16"/>
  <c r="W20" i="29" s="1"/>
  <c r="F12" i="16"/>
  <c r="W19" i="29" s="1"/>
  <c r="F11" i="16"/>
  <c r="W18" i="29" s="1"/>
  <c r="F10" i="16"/>
  <c r="W17" i="29" s="1"/>
  <c r="F9" i="16"/>
  <c r="W16" i="29" s="1"/>
  <c r="F8" i="16"/>
  <c r="W15" i="29" s="1"/>
  <c r="F7" i="16"/>
  <c r="W14" i="29" s="1"/>
  <c r="F6" i="16"/>
  <c r="W13" i="29" s="1"/>
  <c r="H5" i="16"/>
  <c r="F5" i="16"/>
  <c r="W12" i="29" s="1"/>
  <c r="G5" i="16"/>
  <c r="T12" i="29" s="1"/>
  <c r="E7" i="16" l="1"/>
  <c r="N13" i="29"/>
  <c r="I12" i="29"/>
  <c r="H12" i="29"/>
  <c r="L8" i="27"/>
  <c r="G13" i="29" s="1"/>
  <c r="AB22" i="28"/>
  <c r="AB21" i="28"/>
  <c r="AB20" i="28"/>
  <c r="AB19" i="28"/>
  <c r="AB18" i="28"/>
  <c r="AB17" i="28"/>
  <c r="AB16" i="28"/>
  <c r="AB15" i="28"/>
  <c r="AB14" i="28"/>
  <c r="AB13" i="28"/>
  <c r="AB12" i="28"/>
  <c r="AB11" i="28"/>
  <c r="AB10" i="28"/>
  <c r="AB9" i="28"/>
  <c r="AB8" i="28"/>
  <c r="AB7" i="28"/>
  <c r="AT20" i="16"/>
  <c r="AX22" i="28" s="1"/>
  <c r="AT19" i="16"/>
  <c r="AX21" i="28" s="1"/>
  <c r="AT18" i="16"/>
  <c r="AX20" i="28" s="1"/>
  <c r="AT17" i="16"/>
  <c r="AX19" i="28" s="1"/>
  <c r="AT16" i="16"/>
  <c r="AX18" i="28" s="1"/>
  <c r="AT15" i="16"/>
  <c r="AX17" i="28" s="1"/>
  <c r="AT14" i="16"/>
  <c r="AX16" i="28" s="1"/>
  <c r="AT13" i="16"/>
  <c r="AX15" i="28" s="1"/>
  <c r="AT12" i="16"/>
  <c r="AX14" i="28" s="1"/>
  <c r="AT11" i="16"/>
  <c r="AX13" i="28" s="1"/>
  <c r="AT10" i="16"/>
  <c r="AX12" i="28" s="1"/>
  <c r="AT9" i="16"/>
  <c r="AX11" i="28" s="1"/>
  <c r="AT8" i="16"/>
  <c r="AX10" i="28" s="1"/>
  <c r="AT7" i="16"/>
  <c r="AX9" i="28" s="1"/>
  <c r="AT6" i="16"/>
  <c r="AX8" i="28" s="1"/>
  <c r="AT5" i="16"/>
  <c r="AX7" i="28" s="1"/>
  <c r="AS5" i="16"/>
  <c r="AW7" i="28" s="1"/>
  <c r="AS20" i="16"/>
  <c r="AW22" i="28" s="1"/>
  <c r="AR20" i="16"/>
  <c r="AV22" i="28" s="1"/>
  <c r="AQ20" i="16"/>
  <c r="AU22" i="28" s="1"/>
  <c r="AP20" i="16"/>
  <c r="AT22" i="28" s="1"/>
  <c r="AO20" i="16"/>
  <c r="AS22" i="28" s="1"/>
  <c r="AN20" i="16"/>
  <c r="AR22" i="28" s="1"/>
  <c r="AM20" i="16"/>
  <c r="AQ22" i="28" s="1"/>
  <c r="AL20" i="16"/>
  <c r="AP22" i="28" s="1"/>
  <c r="AK20" i="16"/>
  <c r="AO22" i="28" s="1"/>
  <c r="AJ20" i="16"/>
  <c r="AN22" i="28" s="1"/>
  <c r="AI20" i="16"/>
  <c r="AM22" i="28" s="1"/>
  <c r="AH20" i="16"/>
  <c r="AL22" i="28" s="1"/>
  <c r="AG20" i="16"/>
  <c r="AK22" i="28" s="1"/>
  <c r="AF20" i="16"/>
  <c r="AJ22" i="28" s="1"/>
  <c r="AE20" i="16"/>
  <c r="AI22" i="28" s="1"/>
  <c r="AD20" i="16"/>
  <c r="AH22" i="28" s="1"/>
  <c r="AC20" i="16"/>
  <c r="AG22" i="28" s="1"/>
  <c r="AB20" i="16"/>
  <c r="AF22" i="28" s="1"/>
  <c r="AA20" i="16"/>
  <c r="AE22" i="28" s="1"/>
  <c r="Z20" i="16"/>
  <c r="AD22" i="28" s="1"/>
  <c r="Y20" i="16"/>
  <c r="AC22" i="28" s="1"/>
  <c r="AS19" i="16"/>
  <c r="AW21" i="28" s="1"/>
  <c r="AR19" i="16"/>
  <c r="AV21" i="28" s="1"/>
  <c r="AQ19" i="16"/>
  <c r="AU21" i="28" s="1"/>
  <c r="AP19" i="16"/>
  <c r="AT21" i="28" s="1"/>
  <c r="AO19" i="16"/>
  <c r="AS21" i="28" s="1"/>
  <c r="AN19" i="16"/>
  <c r="AR21" i="28" s="1"/>
  <c r="AM19" i="16"/>
  <c r="AQ21" i="28" s="1"/>
  <c r="AL19" i="16"/>
  <c r="AP21" i="28" s="1"/>
  <c r="AK19" i="16"/>
  <c r="AO21" i="28" s="1"/>
  <c r="AJ19" i="16"/>
  <c r="AN21" i="28" s="1"/>
  <c r="AI19" i="16"/>
  <c r="AM21" i="28" s="1"/>
  <c r="AH19" i="16"/>
  <c r="AL21" i="28" s="1"/>
  <c r="AG19" i="16"/>
  <c r="AK21" i="28" s="1"/>
  <c r="AF19" i="16"/>
  <c r="AJ21" i="28" s="1"/>
  <c r="AE19" i="16"/>
  <c r="AI21" i="28" s="1"/>
  <c r="AD19" i="16"/>
  <c r="AH21" i="28" s="1"/>
  <c r="AC19" i="16"/>
  <c r="AG21" i="28" s="1"/>
  <c r="AB19" i="16"/>
  <c r="AF21" i="28" s="1"/>
  <c r="AA19" i="16"/>
  <c r="AE21" i="28" s="1"/>
  <c r="Z19" i="16"/>
  <c r="AD21" i="28" s="1"/>
  <c r="Y19" i="16"/>
  <c r="AC21" i="28" s="1"/>
  <c r="AS18" i="16"/>
  <c r="AW20" i="28" s="1"/>
  <c r="AR18" i="16"/>
  <c r="AV20" i="28" s="1"/>
  <c r="AQ18" i="16"/>
  <c r="AU20" i="28" s="1"/>
  <c r="AP18" i="16"/>
  <c r="AT20" i="28" s="1"/>
  <c r="AO18" i="16"/>
  <c r="AS20" i="28" s="1"/>
  <c r="AN18" i="16"/>
  <c r="AR20" i="28" s="1"/>
  <c r="AM18" i="16"/>
  <c r="AQ20" i="28" s="1"/>
  <c r="AL18" i="16"/>
  <c r="AP20" i="28" s="1"/>
  <c r="AK18" i="16"/>
  <c r="AO20" i="28" s="1"/>
  <c r="AJ18" i="16"/>
  <c r="AN20" i="28" s="1"/>
  <c r="AI18" i="16"/>
  <c r="AM20" i="28" s="1"/>
  <c r="AH18" i="16"/>
  <c r="AL20" i="28" s="1"/>
  <c r="AG18" i="16"/>
  <c r="AK20" i="28" s="1"/>
  <c r="AF18" i="16"/>
  <c r="AJ20" i="28" s="1"/>
  <c r="AE18" i="16"/>
  <c r="AI20" i="28" s="1"/>
  <c r="AD18" i="16"/>
  <c r="AH20" i="28" s="1"/>
  <c r="AC18" i="16"/>
  <c r="AG20" i="28" s="1"/>
  <c r="AB18" i="16"/>
  <c r="AF20" i="28" s="1"/>
  <c r="AA18" i="16"/>
  <c r="AE20" i="28" s="1"/>
  <c r="Z18" i="16"/>
  <c r="AD20" i="28" s="1"/>
  <c r="Y18" i="16"/>
  <c r="AC20" i="28" s="1"/>
  <c r="AS17" i="16"/>
  <c r="AW19" i="28" s="1"/>
  <c r="AR17" i="16"/>
  <c r="AV19" i="28" s="1"/>
  <c r="AQ17" i="16"/>
  <c r="AU19" i="28" s="1"/>
  <c r="AP17" i="16"/>
  <c r="AT19" i="28" s="1"/>
  <c r="AO17" i="16"/>
  <c r="AS19" i="28" s="1"/>
  <c r="AN17" i="16"/>
  <c r="AR19" i="28" s="1"/>
  <c r="AM17" i="16"/>
  <c r="AQ19" i="28" s="1"/>
  <c r="AL17" i="16"/>
  <c r="AP19" i="28" s="1"/>
  <c r="AK17" i="16"/>
  <c r="AO19" i="28" s="1"/>
  <c r="AJ17" i="16"/>
  <c r="AN19" i="28" s="1"/>
  <c r="AI17" i="16"/>
  <c r="AM19" i="28" s="1"/>
  <c r="AH17" i="16"/>
  <c r="AL19" i="28" s="1"/>
  <c r="AG17" i="16"/>
  <c r="AK19" i="28" s="1"/>
  <c r="AF17" i="16"/>
  <c r="AJ19" i="28" s="1"/>
  <c r="AE17" i="16"/>
  <c r="AI19" i="28" s="1"/>
  <c r="AD17" i="16"/>
  <c r="AH19" i="28" s="1"/>
  <c r="AC17" i="16"/>
  <c r="AG19" i="28" s="1"/>
  <c r="AB17" i="16"/>
  <c r="AF19" i="28" s="1"/>
  <c r="AA17" i="16"/>
  <c r="AE19" i="28" s="1"/>
  <c r="Z17" i="16"/>
  <c r="AD19" i="28" s="1"/>
  <c r="Y17" i="16"/>
  <c r="AC19" i="28" s="1"/>
  <c r="AS16" i="16"/>
  <c r="AW18" i="28" s="1"/>
  <c r="AR16" i="16"/>
  <c r="AV18" i="28" s="1"/>
  <c r="AQ16" i="16"/>
  <c r="AU18" i="28" s="1"/>
  <c r="AP16" i="16"/>
  <c r="AT18" i="28" s="1"/>
  <c r="AO16" i="16"/>
  <c r="AS18" i="28" s="1"/>
  <c r="AN16" i="16"/>
  <c r="AR18" i="28" s="1"/>
  <c r="AM16" i="16"/>
  <c r="AQ18" i="28" s="1"/>
  <c r="AL16" i="16"/>
  <c r="AP18" i="28" s="1"/>
  <c r="AK16" i="16"/>
  <c r="AO18" i="28" s="1"/>
  <c r="AJ16" i="16"/>
  <c r="AN18" i="28" s="1"/>
  <c r="AI16" i="16"/>
  <c r="AM18" i="28" s="1"/>
  <c r="AH16" i="16"/>
  <c r="AL18" i="28" s="1"/>
  <c r="AG16" i="16"/>
  <c r="AK18" i="28" s="1"/>
  <c r="AF16" i="16"/>
  <c r="AJ18" i="28" s="1"/>
  <c r="AE16" i="16"/>
  <c r="AI18" i="28" s="1"/>
  <c r="AD16" i="16"/>
  <c r="AH18" i="28" s="1"/>
  <c r="AC16" i="16"/>
  <c r="AG18" i="28" s="1"/>
  <c r="AB16" i="16"/>
  <c r="AF18" i="28" s="1"/>
  <c r="AA16" i="16"/>
  <c r="AE18" i="28" s="1"/>
  <c r="Z16" i="16"/>
  <c r="AD18" i="28" s="1"/>
  <c r="Y16" i="16"/>
  <c r="AC18" i="28" s="1"/>
  <c r="AS15" i="16"/>
  <c r="AW17" i="28" s="1"/>
  <c r="AR15" i="16"/>
  <c r="AV17" i="28" s="1"/>
  <c r="AQ15" i="16"/>
  <c r="AU17" i="28" s="1"/>
  <c r="AP15" i="16"/>
  <c r="AT17" i="28" s="1"/>
  <c r="AO15" i="16"/>
  <c r="AS17" i="28" s="1"/>
  <c r="AN15" i="16"/>
  <c r="AR17" i="28" s="1"/>
  <c r="AM15" i="16"/>
  <c r="AQ17" i="28" s="1"/>
  <c r="AL15" i="16"/>
  <c r="AP17" i="28" s="1"/>
  <c r="AK15" i="16"/>
  <c r="AO17" i="28" s="1"/>
  <c r="AJ15" i="16"/>
  <c r="AN17" i="28" s="1"/>
  <c r="AI15" i="16"/>
  <c r="AM17" i="28" s="1"/>
  <c r="AH15" i="16"/>
  <c r="AL17" i="28" s="1"/>
  <c r="AG15" i="16"/>
  <c r="AK17" i="28" s="1"/>
  <c r="AF15" i="16"/>
  <c r="AJ17" i="28" s="1"/>
  <c r="AE15" i="16"/>
  <c r="AI17" i="28" s="1"/>
  <c r="AD15" i="16"/>
  <c r="AH17" i="28" s="1"/>
  <c r="AC15" i="16"/>
  <c r="AG17" i="28" s="1"/>
  <c r="AB15" i="16"/>
  <c r="AF17" i="28" s="1"/>
  <c r="AA15" i="16"/>
  <c r="AE17" i="28" s="1"/>
  <c r="Z15" i="16"/>
  <c r="AD17" i="28" s="1"/>
  <c r="Y15" i="16"/>
  <c r="AC17" i="28" s="1"/>
  <c r="AS14" i="16"/>
  <c r="AW16" i="28" s="1"/>
  <c r="AR14" i="16"/>
  <c r="AV16" i="28" s="1"/>
  <c r="AQ14" i="16"/>
  <c r="AU16" i="28" s="1"/>
  <c r="AP14" i="16"/>
  <c r="AT16" i="28" s="1"/>
  <c r="AO14" i="16"/>
  <c r="AS16" i="28" s="1"/>
  <c r="AN14" i="16"/>
  <c r="AR16" i="28" s="1"/>
  <c r="AM14" i="16"/>
  <c r="AQ16" i="28" s="1"/>
  <c r="AL14" i="16"/>
  <c r="AP16" i="28" s="1"/>
  <c r="AK14" i="16"/>
  <c r="AO16" i="28" s="1"/>
  <c r="AJ14" i="16"/>
  <c r="AN16" i="28" s="1"/>
  <c r="AI14" i="16"/>
  <c r="AM16" i="28" s="1"/>
  <c r="AH14" i="16"/>
  <c r="AL16" i="28" s="1"/>
  <c r="AG14" i="16"/>
  <c r="AK16" i="28" s="1"/>
  <c r="AF14" i="16"/>
  <c r="AJ16" i="28" s="1"/>
  <c r="AE14" i="16"/>
  <c r="AI16" i="28" s="1"/>
  <c r="AD14" i="16"/>
  <c r="AH16" i="28" s="1"/>
  <c r="AC14" i="16"/>
  <c r="AG16" i="28" s="1"/>
  <c r="AB14" i="16"/>
  <c r="AF16" i="28" s="1"/>
  <c r="AA14" i="16"/>
  <c r="AE16" i="28" s="1"/>
  <c r="Z14" i="16"/>
  <c r="AD16" i="28" s="1"/>
  <c r="Y14" i="16"/>
  <c r="AC16" i="28" s="1"/>
  <c r="AS13" i="16"/>
  <c r="AW15" i="28" s="1"/>
  <c r="AR13" i="16"/>
  <c r="AV15" i="28" s="1"/>
  <c r="AQ13" i="16"/>
  <c r="AU15" i="28" s="1"/>
  <c r="AP13" i="16"/>
  <c r="AT15" i="28" s="1"/>
  <c r="AO13" i="16"/>
  <c r="AS15" i="28" s="1"/>
  <c r="AN13" i="16"/>
  <c r="AR15" i="28" s="1"/>
  <c r="AM13" i="16"/>
  <c r="AQ15" i="28" s="1"/>
  <c r="AL13" i="16"/>
  <c r="AP15" i="28" s="1"/>
  <c r="AK13" i="16"/>
  <c r="AO15" i="28" s="1"/>
  <c r="AJ13" i="16"/>
  <c r="AN15" i="28" s="1"/>
  <c r="AI13" i="16"/>
  <c r="AM15" i="28" s="1"/>
  <c r="AH13" i="16"/>
  <c r="AL15" i="28" s="1"/>
  <c r="AG13" i="16"/>
  <c r="AK15" i="28" s="1"/>
  <c r="AF13" i="16"/>
  <c r="AJ15" i="28" s="1"/>
  <c r="AE13" i="16"/>
  <c r="AI15" i="28" s="1"/>
  <c r="AD13" i="16"/>
  <c r="AH15" i="28" s="1"/>
  <c r="AC13" i="16"/>
  <c r="AG15" i="28" s="1"/>
  <c r="AB13" i="16"/>
  <c r="AF15" i="28" s="1"/>
  <c r="AA13" i="16"/>
  <c r="AE15" i="28" s="1"/>
  <c r="Z13" i="16"/>
  <c r="AD15" i="28" s="1"/>
  <c r="Y13" i="16"/>
  <c r="AC15" i="28" s="1"/>
  <c r="AS12" i="16"/>
  <c r="AW14" i="28" s="1"/>
  <c r="AR12" i="16"/>
  <c r="AV14" i="28" s="1"/>
  <c r="AQ12" i="16"/>
  <c r="AU14" i="28" s="1"/>
  <c r="AP12" i="16"/>
  <c r="AT14" i="28" s="1"/>
  <c r="AO12" i="16"/>
  <c r="AS14" i="28" s="1"/>
  <c r="AN12" i="16"/>
  <c r="AR14" i="28" s="1"/>
  <c r="AM12" i="16"/>
  <c r="AQ14" i="28" s="1"/>
  <c r="AL12" i="16"/>
  <c r="AP14" i="28" s="1"/>
  <c r="AK12" i="16"/>
  <c r="AO14" i="28" s="1"/>
  <c r="AJ12" i="16"/>
  <c r="AN14" i="28" s="1"/>
  <c r="AI12" i="16"/>
  <c r="AM14" i="28" s="1"/>
  <c r="AH12" i="16"/>
  <c r="AL14" i="28" s="1"/>
  <c r="AG12" i="16"/>
  <c r="AK14" i="28" s="1"/>
  <c r="AF12" i="16"/>
  <c r="AJ14" i="28" s="1"/>
  <c r="AE12" i="16"/>
  <c r="AI14" i="28" s="1"/>
  <c r="AD12" i="16"/>
  <c r="AH14" i="28" s="1"/>
  <c r="AC12" i="16"/>
  <c r="AG14" i="28" s="1"/>
  <c r="AB12" i="16"/>
  <c r="AF14" i="28" s="1"/>
  <c r="AA12" i="16"/>
  <c r="AE14" i="28" s="1"/>
  <c r="Z12" i="16"/>
  <c r="AD14" i="28" s="1"/>
  <c r="Y12" i="16"/>
  <c r="AC14" i="28" s="1"/>
  <c r="AS11" i="16"/>
  <c r="AW13" i="28" s="1"/>
  <c r="AR11" i="16"/>
  <c r="AV13" i="28" s="1"/>
  <c r="AQ11" i="16"/>
  <c r="AU13" i="28" s="1"/>
  <c r="AP11" i="16"/>
  <c r="AT13" i="28" s="1"/>
  <c r="AO11" i="16"/>
  <c r="AS13" i="28" s="1"/>
  <c r="AN11" i="16"/>
  <c r="AR13" i="28" s="1"/>
  <c r="AM11" i="16"/>
  <c r="AQ13" i="28" s="1"/>
  <c r="AL11" i="16"/>
  <c r="AP13" i="28" s="1"/>
  <c r="AK11" i="16"/>
  <c r="AO13" i="28" s="1"/>
  <c r="AJ11" i="16"/>
  <c r="AN13" i="28" s="1"/>
  <c r="AI11" i="16"/>
  <c r="AM13" i="28" s="1"/>
  <c r="AH11" i="16"/>
  <c r="AL13" i="28" s="1"/>
  <c r="AG11" i="16"/>
  <c r="AK13" i="28" s="1"/>
  <c r="AF11" i="16"/>
  <c r="AJ13" i="28" s="1"/>
  <c r="AE11" i="16"/>
  <c r="AI13" i="28" s="1"/>
  <c r="AD11" i="16"/>
  <c r="AH13" i="28" s="1"/>
  <c r="AC11" i="16"/>
  <c r="AG13" i="28" s="1"/>
  <c r="AB11" i="16"/>
  <c r="AF13" i="28" s="1"/>
  <c r="AA11" i="16"/>
  <c r="AE13" i="28" s="1"/>
  <c r="Z11" i="16"/>
  <c r="AD13" i="28" s="1"/>
  <c r="Y11" i="16"/>
  <c r="AC13" i="28" s="1"/>
  <c r="AS10" i="16"/>
  <c r="AW12" i="28" s="1"/>
  <c r="AR10" i="16"/>
  <c r="AV12" i="28" s="1"/>
  <c r="AQ10" i="16"/>
  <c r="AU12" i="28" s="1"/>
  <c r="AP10" i="16"/>
  <c r="AT12" i="28" s="1"/>
  <c r="AO10" i="16"/>
  <c r="AS12" i="28" s="1"/>
  <c r="AN10" i="16"/>
  <c r="AR12" i="28" s="1"/>
  <c r="AM10" i="16"/>
  <c r="AQ12" i="28" s="1"/>
  <c r="AL10" i="16"/>
  <c r="AP12" i="28" s="1"/>
  <c r="AK10" i="16"/>
  <c r="AO12" i="28" s="1"/>
  <c r="AJ10" i="16"/>
  <c r="AN12" i="28" s="1"/>
  <c r="AI10" i="16"/>
  <c r="AM12" i="28" s="1"/>
  <c r="AH10" i="16"/>
  <c r="AL12" i="28" s="1"/>
  <c r="AG10" i="16"/>
  <c r="AK12" i="28" s="1"/>
  <c r="AF10" i="16"/>
  <c r="AJ12" i="28" s="1"/>
  <c r="AE10" i="16"/>
  <c r="AI12" i="28" s="1"/>
  <c r="AD10" i="16"/>
  <c r="AH12" i="28" s="1"/>
  <c r="AC10" i="16"/>
  <c r="AG12" i="28" s="1"/>
  <c r="AB10" i="16"/>
  <c r="AF12" i="28" s="1"/>
  <c r="AA10" i="16"/>
  <c r="AE12" i="28" s="1"/>
  <c r="Z10" i="16"/>
  <c r="AD12" i="28" s="1"/>
  <c r="Y10" i="16"/>
  <c r="AC12" i="28" s="1"/>
  <c r="AS9" i="16"/>
  <c r="AW11" i="28" s="1"/>
  <c r="AR9" i="16"/>
  <c r="AV11" i="28" s="1"/>
  <c r="AQ9" i="16"/>
  <c r="AU11" i="28" s="1"/>
  <c r="AP9" i="16"/>
  <c r="AT11" i="28" s="1"/>
  <c r="AO9" i="16"/>
  <c r="AS11" i="28" s="1"/>
  <c r="AN9" i="16"/>
  <c r="AR11" i="28" s="1"/>
  <c r="AM9" i="16"/>
  <c r="AQ11" i="28" s="1"/>
  <c r="AL9" i="16"/>
  <c r="AP11" i="28" s="1"/>
  <c r="AK9" i="16"/>
  <c r="AO11" i="28" s="1"/>
  <c r="AJ9" i="16"/>
  <c r="AN11" i="28" s="1"/>
  <c r="AI9" i="16"/>
  <c r="AM11" i="28" s="1"/>
  <c r="AH9" i="16"/>
  <c r="AL11" i="28" s="1"/>
  <c r="AG9" i="16"/>
  <c r="AK11" i="28" s="1"/>
  <c r="AF9" i="16"/>
  <c r="AJ11" i="28" s="1"/>
  <c r="AE9" i="16"/>
  <c r="AI11" i="28" s="1"/>
  <c r="AD9" i="16"/>
  <c r="AH11" i="28" s="1"/>
  <c r="AC9" i="16"/>
  <c r="AG11" i="28" s="1"/>
  <c r="AB9" i="16"/>
  <c r="AF11" i="28" s="1"/>
  <c r="AA9" i="16"/>
  <c r="AE11" i="28" s="1"/>
  <c r="Z9" i="16"/>
  <c r="AD11" i="28" s="1"/>
  <c r="Y9" i="16"/>
  <c r="AC11" i="28" s="1"/>
  <c r="AS8" i="16"/>
  <c r="AW10" i="28" s="1"/>
  <c r="AR8" i="16"/>
  <c r="AV10" i="28" s="1"/>
  <c r="AQ8" i="16"/>
  <c r="AU10" i="28" s="1"/>
  <c r="AP8" i="16"/>
  <c r="AT10" i="28" s="1"/>
  <c r="AO8" i="16"/>
  <c r="AS10" i="28" s="1"/>
  <c r="AN8" i="16"/>
  <c r="AR10" i="28" s="1"/>
  <c r="AM8" i="16"/>
  <c r="AQ10" i="28" s="1"/>
  <c r="AL8" i="16"/>
  <c r="AP10" i="28" s="1"/>
  <c r="AK8" i="16"/>
  <c r="AO10" i="28" s="1"/>
  <c r="AJ8" i="16"/>
  <c r="AN10" i="28" s="1"/>
  <c r="AI8" i="16"/>
  <c r="AM10" i="28" s="1"/>
  <c r="AH8" i="16"/>
  <c r="AL10" i="28" s="1"/>
  <c r="AG8" i="16"/>
  <c r="AK10" i="28" s="1"/>
  <c r="AF8" i="16"/>
  <c r="AJ10" i="28" s="1"/>
  <c r="AE8" i="16"/>
  <c r="AI10" i="28" s="1"/>
  <c r="AD8" i="16"/>
  <c r="AH10" i="28" s="1"/>
  <c r="AC8" i="16"/>
  <c r="AG10" i="28" s="1"/>
  <c r="AB8" i="16"/>
  <c r="AF10" i="28" s="1"/>
  <c r="AA8" i="16"/>
  <c r="AE10" i="28" s="1"/>
  <c r="Z8" i="16"/>
  <c r="AD10" i="28" s="1"/>
  <c r="Y8" i="16"/>
  <c r="AC10" i="28" s="1"/>
  <c r="AS7" i="16"/>
  <c r="AW9" i="28" s="1"/>
  <c r="AR7" i="16"/>
  <c r="AV9" i="28" s="1"/>
  <c r="AQ7" i="16"/>
  <c r="AU9" i="28" s="1"/>
  <c r="AP7" i="16"/>
  <c r="AT9" i="28" s="1"/>
  <c r="AO7" i="16"/>
  <c r="AS9" i="28" s="1"/>
  <c r="AN7" i="16"/>
  <c r="AR9" i="28" s="1"/>
  <c r="AM7" i="16"/>
  <c r="AQ9" i="28" s="1"/>
  <c r="AL7" i="16"/>
  <c r="AP9" i="28" s="1"/>
  <c r="AK7" i="16"/>
  <c r="AO9" i="28" s="1"/>
  <c r="AJ7" i="16"/>
  <c r="AN9" i="28" s="1"/>
  <c r="AI7" i="16"/>
  <c r="AM9" i="28" s="1"/>
  <c r="AH7" i="16"/>
  <c r="AL9" i="28" s="1"/>
  <c r="AG7" i="16"/>
  <c r="AK9" i="28" s="1"/>
  <c r="AF7" i="16"/>
  <c r="AJ9" i="28" s="1"/>
  <c r="AE7" i="16"/>
  <c r="AI9" i="28" s="1"/>
  <c r="AD7" i="16"/>
  <c r="AH9" i="28" s="1"/>
  <c r="AC7" i="16"/>
  <c r="AG9" i="28" s="1"/>
  <c r="AB7" i="16"/>
  <c r="AF9" i="28" s="1"/>
  <c r="AA7" i="16"/>
  <c r="AE9" i="28" s="1"/>
  <c r="Z7" i="16"/>
  <c r="AD9" i="28" s="1"/>
  <c r="Y7" i="16"/>
  <c r="AC9" i="28" s="1"/>
  <c r="AS6" i="16"/>
  <c r="AW8" i="28" s="1"/>
  <c r="AR6" i="16"/>
  <c r="AV8" i="28" s="1"/>
  <c r="AQ6" i="16"/>
  <c r="AU8" i="28" s="1"/>
  <c r="AP6" i="16"/>
  <c r="AT8" i="28" s="1"/>
  <c r="AO6" i="16"/>
  <c r="AS8" i="28" s="1"/>
  <c r="AN6" i="16"/>
  <c r="AR8" i="28" s="1"/>
  <c r="AM6" i="16"/>
  <c r="AQ8" i="28" s="1"/>
  <c r="AL6" i="16"/>
  <c r="AP8" i="28" s="1"/>
  <c r="AK6" i="16"/>
  <c r="AO8" i="28" s="1"/>
  <c r="AJ6" i="16"/>
  <c r="AN8" i="28" s="1"/>
  <c r="AI6" i="16"/>
  <c r="AM8" i="28" s="1"/>
  <c r="AH6" i="16"/>
  <c r="AL8" i="28" s="1"/>
  <c r="AG6" i="16"/>
  <c r="AK8" i="28" s="1"/>
  <c r="AF6" i="16"/>
  <c r="AJ8" i="28" s="1"/>
  <c r="AE6" i="16"/>
  <c r="AI8" i="28" s="1"/>
  <c r="AD6" i="16"/>
  <c r="AH8" i="28" s="1"/>
  <c r="AC6" i="16"/>
  <c r="AG8" i="28" s="1"/>
  <c r="AB6" i="16"/>
  <c r="AF8" i="28" s="1"/>
  <c r="AA6" i="16"/>
  <c r="AE8" i="28" s="1"/>
  <c r="Z6" i="16"/>
  <c r="AD8" i="28" s="1"/>
  <c r="Y6" i="16"/>
  <c r="AC8" i="28" s="1"/>
  <c r="AR5" i="16"/>
  <c r="AV7" i="28" s="1"/>
  <c r="AQ5" i="16"/>
  <c r="AU7" i="28" s="1"/>
  <c r="AP5" i="16"/>
  <c r="AT7" i="28" s="1"/>
  <c r="AO5" i="16"/>
  <c r="AS7" i="28" s="1"/>
  <c r="AN5" i="16"/>
  <c r="AR7" i="28" s="1"/>
  <c r="AM5" i="16"/>
  <c r="AQ7" i="28" s="1"/>
  <c r="AL5" i="16"/>
  <c r="AP7" i="28" s="1"/>
  <c r="AK5" i="16"/>
  <c r="AO7" i="28" s="1"/>
  <c r="AJ5" i="16"/>
  <c r="AN7" i="28" s="1"/>
  <c r="AI5" i="16"/>
  <c r="AM7" i="28" s="1"/>
  <c r="AH5" i="16"/>
  <c r="AL7" i="28" s="1"/>
  <c r="AG5" i="16"/>
  <c r="AK7" i="28" s="1"/>
  <c r="AF5" i="16"/>
  <c r="AJ7" i="28" s="1"/>
  <c r="AE5" i="16"/>
  <c r="AI7" i="28" s="1"/>
  <c r="AD5" i="16"/>
  <c r="AH7" i="28" s="1"/>
  <c r="AC5" i="16"/>
  <c r="AG7" i="28" s="1"/>
  <c r="AB5" i="16"/>
  <c r="AF7" i="28" s="1"/>
  <c r="AA5" i="16"/>
  <c r="AE7" i="28" s="1"/>
  <c r="Z5" i="16"/>
  <c r="AD7" i="28" s="1"/>
  <c r="Y5" i="16"/>
  <c r="AC7" i="28" s="1"/>
  <c r="O13" i="29" l="1"/>
  <c r="H13" i="29"/>
  <c r="I13" i="29"/>
  <c r="E8" i="16"/>
  <c r="N14" i="29"/>
  <c r="L9" i="27"/>
  <c r="G14" i="29" s="1"/>
  <c r="BB7" i="28"/>
  <c r="O14" i="29" l="1"/>
  <c r="H14" i="29"/>
  <c r="I14" i="29"/>
  <c r="E9" i="16"/>
  <c r="N15" i="29"/>
  <c r="L10" i="27"/>
  <c r="G15" i="29" s="1"/>
  <c r="D22" i="10"/>
  <c r="D21" i="10"/>
  <c r="D20" i="10"/>
  <c r="D18" i="10"/>
  <c r="D16" i="10"/>
  <c r="T15" i="28"/>
  <c r="D14" i="10"/>
  <c r="D13" i="10"/>
  <c r="D12" i="10"/>
  <c r="D11" i="10"/>
  <c r="D10" i="10"/>
  <c r="D9" i="10"/>
  <c r="D8" i="10"/>
  <c r="C22" i="10"/>
  <c r="C21" i="10"/>
  <c r="C20" i="10"/>
  <c r="C18" i="10"/>
  <c r="C14" i="10"/>
  <c r="C13" i="10"/>
  <c r="C11" i="10"/>
  <c r="C10" i="10"/>
  <c r="E22" i="10"/>
  <c r="E21" i="10"/>
  <c r="E17" i="10"/>
  <c r="E16" i="10"/>
  <c r="E15" i="10"/>
  <c r="E12" i="10"/>
  <c r="E11" i="10"/>
  <c r="Q20" i="28"/>
  <c r="Q19" i="28"/>
  <c r="E20" i="10"/>
  <c r="E19" i="10"/>
  <c r="E18" i="10"/>
  <c r="E14" i="10"/>
  <c r="E13" i="10"/>
  <c r="E10" i="10"/>
  <c r="E9" i="10"/>
  <c r="E8" i="10"/>
  <c r="E7" i="10"/>
  <c r="D19" i="10"/>
  <c r="D17" i="10"/>
  <c r="D7" i="10"/>
  <c r="C19" i="10"/>
  <c r="C17" i="10"/>
  <c r="C16" i="10"/>
  <c r="C15" i="10"/>
  <c r="C12" i="10"/>
  <c r="C7" i="10"/>
  <c r="BW25" i="28"/>
  <c r="BB52" i="28"/>
  <c r="CC23" i="28" s="1"/>
  <c r="BB51" i="28"/>
  <c r="CC22" i="28" s="1"/>
  <c r="BB50" i="28"/>
  <c r="CC21" i="28" s="1"/>
  <c r="BB43" i="28"/>
  <c r="BV22" i="28" s="1"/>
  <c r="BB42" i="28"/>
  <c r="BN25" i="28" s="1"/>
  <c r="BB41" i="28"/>
  <c r="BV29" i="28" s="1"/>
  <c r="BB40" i="28"/>
  <c r="BN29" i="28" s="1"/>
  <c r="BB39" i="28"/>
  <c r="BV28" i="28" s="1"/>
  <c r="BB38" i="28"/>
  <c r="BN27" i="28" s="1"/>
  <c r="BG41" i="28"/>
  <c r="T22" i="28"/>
  <c r="S22" i="28"/>
  <c r="R22" i="28"/>
  <c r="Q22" i="28"/>
  <c r="T21" i="28"/>
  <c r="S21" i="28"/>
  <c r="R21" i="28"/>
  <c r="Q21" i="28"/>
  <c r="T20" i="28"/>
  <c r="S20" i="28"/>
  <c r="R20" i="28"/>
  <c r="T19" i="28"/>
  <c r="S19" i="28"/>
  <c r="R19" i="28"/>
  <c r="T18" i="28"/>
  <c r="S18" i="28"/>
  <c r="R18" i="28"/>
  <c r="Q18" i="28"/>
  <c r="T17" i="28"/>
  <c r="S17" i="28"/>
  <c r="R17" i="28"/>
  <c r="Q17" i="28"/>
  <c r="T16" i="28"/>
  <c r="S16" i="28"/>
  <c r="R16" i="28"/>
  <c r="Q16" i="28"/>
  <c r="S15" i="28"/>
  <c r="R15" i="28"/>
  <c r="Q15" i="28"/>
  <c r="T14" i="28"/>
  <c r="S14" i="28"/>
  <c r="R14" i="28"/>
  <c r="Q14" i="28"/>
  <c r="T13" i="28"/>
  <c r="S13" i="28"/>
  <c r="R13" i="28"/>
  <c r="Q13" i="28"/>
  <c r="T12" i="28"/>
  <c r="S12" i="28"/>
  <c r="R12" i="28"/>
  <c r="Q12" i="28"/>
  <c r="T11" i="28"/>
  <c r="S11" i="28"/>
  <c r="Q11" i="28"/>
  <c r="S10" i="28"/>
  <c r="R10" i="28"/>
  <c r="Q10" i="28"/>
  <c r="T9" i="28"/>
  <c r="R9" i="28"/>
  <c r="Q9" i="28"/>
  <c r="U8" i="28"/>
  <c r="T8" i="28"/>
  <c r="R8" i="28"/>
  <c r="Q8" i="28"/>
  <c r="U7" i="28"/>
  <c r="T7" i="28"/>
  <c r="S7" i="28"/>
  <c r="R7" i="28"/>
  <c r="Q7" i="28"/>
  <c r="W22" i="28"/>
  <c r="W21" i="28"/>
  <c r="W20" i="28"/>
  <c r="W19" i="28"/>
  <c r="W18" i="28"/>
  <c r="W17" i="28"/>
  <c r="W16" i="28"/>
  <c r="W15" i="28"/>
  <c r="W14" i="28"/>
  <c r="W13" i="28"/>
  <c r="W12" i="28"/>
  <c r="W11" i="28"/>
  <c r="W10" i="28"/>
  <c r="W9" i="28"/>
  <c r="W8" i="28"/>
  <c r="W7" i="28"/>
  <c r="BO19" i="28"/>
  <c r="BM17" i="28"/>
  <c r="BM16" i="28"/>
  <c r="F22" i="28"/>
  <c r="E22" i="28"/>
  <c r="F21" i="28"/>
  <c r="E21" i="28"/>
  <c r="F20" i="28"/>
  <c r="E20" i="28"/>
  <c r="F19" i="28"/>
  <c r="E19" i="28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BB12" i="28" s="1"/>
  <c r="E7" i="28"/>
  <c r="BB11" i="28" s="1"/>
  <c r="X22" i="28"/>
  <c r="V22" i="28"/>
  <c r="L22" i="28"/>
  <c r="K22" i="28"/>
  <c r="J22" i="28"/>
  <c r="I22" i="28"/>
  <c r="H22" i="28"/>
  <c r="G22" i="28"/>
  <c r="X21" i="28"/>
  <c r="V21" i="28"/>
  <c r="L21" i="28"/>
  <c r="K21" i="28"/>
  <c r="J21" i="28"/>
  <c r="I21" i="28"/>
  <c r="H21" i="28"/>
  <c r="G21" i="28"/>
  <c r="X20" i="28"/>
  <c r="V20" i="28"/>
  <c r="L20" i="28"/>
  <c r="K20" i="28"/>
  <c r="J20" i="28"/>
  <c r="I20" i="28"/>
  <c r="H20" i="28"/>
  <c r="G20" i="28"/>
  <c r="X19" i="28"/>
  <c r="V19" i="28"/>
  <c r="L19" i="28"/>
  <c r="K19" i="28"/>
  <c r="J19" i="28"/>
  <c r="I19" i="28"/>
  <c r="H19" i="28"/>
  <c r="G19" i="28"/>
  <c r="X18" i="28"/>
  <c r="V18" i="28"/>
  <c r="L18" i="28"/>
  <c r="K18" i="28"/>
  <c r="J18" i="28"/>
  <c r="I18" i="28"/>
  <c r="H18" i="28"/>
  <c r="G18" i="28"/>
  <c r="X17" i="28"/>
  <c r="V17" i="28"/>
  <c r="L17" i="28"/>
  <c r="K17" i="28"/>
  <c r="J17" i="28"/>
  <c r="I17" i="28"/>
  <c r="H17" i="28"/>
  <c r="G17" i="28"/>
  <c r="X16" i="28"/>
  <c r="V16" i="28"/>
  <c r="L16" i="28"/>
  <c r="K16" i="28"/>
  <c r="J16" i="28"/>
  <c r="I16" i="28"/>
  <c r="H16" i="28"/>
  <c r="G16" i="28"/>
  <c r="X15" i="28"/>
  <c r="V15" i="28"/>
  <c r="L15" i="28"/>
  <c r="K15" i="28"/>
  <c r="J15" i="28"/>
  <c r="I15" i="28"/>
  <c r="H15" i="28"/>
  <c r="G15" i="28"/>
  <c r="X14" i="28"/>
  <c r="V14" i="28"/>
  <c r="L14" i="28"/>
  <c r="K14" i="28"/>
  <c r="J14" i="28"/>
  <c r="I14" i="28"/>
  <c r="H14" i="28"/>
  <c r="G14" i="28"/>
  <c r="X13" i="28"/>
  <c r="V13" i="28"/>
  <c r="L13" i="28"/>
  <c r="K13" i="28"/>
  <c r="J13" i="28"/>
  <c r="I13" i="28"/>
  <c r="H13" i="28"/>
  <c r="G13" i="28"/>
  <c r="X12" i="28"/>
  <c r="V12" i="28"/>
  <c r="L12" i="28"/>
  <c r="K12" i="28"/>
  <c r="J12" i="28"/>
  <c r="I12" i="28"/>
  <c r="H12" i="28"/>
  <c r="G12" i="28"/>
  <c r="X11" i="28"/>
  <c r="V11" i="28"/>
  <c r="L11" i="28"/>
  <c r="K11" i="28"/>
  <c r="J11" i="28"/>
  <c r="I11" i="28"/>
  <c r="H11" i="28"/>
  <c r="G11" i="28"/>
  <c r="X10" i="28"/>
  <c r="V10" i="28"/>
  <c r="M10" i="28"/>
  <c r="L10" i="28"/>
  <c r="K10" i="28"/>
  <c r="J10" i="28"/>
  <c r="I10" i="28"/>
  <c r="H10" i="28"/>
  <c r="G10" i="28"/>
  <c r="X9" i="28"/>
  <c r="V9" i="28"/>
  <c r="M9" i="28"/>
  <c r="L9" i="28"/>
  <c r="K9" i="28"/>
  <c r="J9" i="28"/>
  <c r="I9" i="28"/>
  <c r="H9" i="28"/>
  <c r="G9" i="28"/>
  <c r="X8" i="28"/>
  <c r="V8" i="28"/>
  <c r="M8" i="28"/>
  <c r="L8" i="28"/>
  <c r="K8" i="28"/>
  <c r="J8" i="28"/>
  <c r="I8" i="28"/>
  <c r="H8" i="28"/>
  <c r="G8" i="28"/>
  <c r="X7" i="28"/>
  <c r="V7" i="28"/>
  <c r="O7" i="28"/>
  <c r="N7" i="28"/>
  <c r="M7" i="28"/>
  <c r="L7" i="28"/>
  <c r="K7" i="28"/>
  <c r="J7" i="28"/>
  <c r="I7" i="28"/>
  <c r="H7" i="28"/>
  <c r="BB15" i="28" s="1"/>
  <c r="G7" i="28"/>
  <c r="O15" i="29" l="1"/>
  <c r="I15" i="29"/>
  <c r="H15" i="29"/>
  <c r="E10" i="16"/>
  <c r="N16" i="29"/>
  <c r="L11" i="27"/>
  <c r="BB16" i="28"/>
  <c r="BN32" i="28" s="1"/>
  <c r="BB14" i="28"/>
  <c r="BJ31" i="28" s="1"/>
  <c r="U9" i="28"/>
  <c r="BB22" i="28"/>
  <c r="BN37" i="28" s="1"/>
  <c r="BB17" i="28"/>
  <c r="BM33" i="28" s="1"/>
  <c r="BB18" i="28"/>
  <c r="BS34" i="28" s="1"/>
  <c r="BB32" i="28"/>
  <c r="BN23" i="28" s="1"/>
  <c r="BB26" i="28"/>
  <c r="BR39" i="28" s="1"/>
  <c r="BB28" i="28"/>
  <c r="BC28" i="28" s="1"/>
  <c r="BG43" i="28" s="1"/>
  <c r="BB35" i="28"/>
  <c r="BV26" i="28" s="1"/>
  <c r="BB47" i="28"/>
  <c r="BV24" i="28" s="1"/>
  <c r="BB44" i="28"/>
  <c r="BN28" i="28" s="1"/>
  <c r="BB45" i="28"/>
  <c r="BV27" i="28" s="1"/>
  <c r="BB34" i="28"/>
  <c r="BN21" i="28" s="1"/>
  <c r="BB36" i="28"/>
  <c r="BN24" i="28" s="1"/>
  <c r="BB48" i="28"/>
  <c r="BV25" i="28" s="1"/>
  <c r="BB19" i="28"/>
  <c r="BN35" i="28" s="1"/>
  <c r="BB23" i="28"/>
  <c r="BR40" i="28" s="1"/>
  <c r="BB8" i="28"/>
  <c r="BM8" i="28" s="1"/>
  <c r="BB24" i="28"/>
  <c r="BK39" i="28" s="1"/>
  <c r="BB33" i="28"/>
  <c r="BN22" i="28" s="1"/>
  <c r="BB46" i="28"/>
  <c r="BV23" i="28" s="1"/>
  <c r="BB29" i="28"/>
  <c r="BC29" i="28" s="1"/>
  <c r="BS45" i="28" s="1"/>
  <c r="BB37" i="28"/>
  <c r="BN26" i="28" s="1"/>
  <c r="BB49" i="28"/>
  <c r="BV21" i="28" s="1"/>
  <c r="U10" i="28"/>
  <c r="D15" i="10"/>
  <c r="T10" i="28"/>
  <c r="C9" i="10"/>
  <c r="S9" i="28"/>
  <c r="BB25" i="28" s="1"/>
  <c r="BO39" i="28" s="1"/>
  <c r="C8" i="10"/>
  <c r="S8" i="28"/>
  <c r="R11" i="28"/>
  <c r="BM11" i="28"/>
  <c r="BM12" i="28"/>
  <c r="CC31" i="28"/>
  <c r="O16" i="29" l="1"/>
  <c r="G16" i="29"/>
  <c r="M11" i="28"/>
  <c r="E11" i="16"/>
  <c r="N17" i="29"/>
  <c r="L12" i="27"/>
  <c r="BW31" i="28"/>
  <c r="BP31" i="28"/>
  <c r="BR36" i="28"/>
  <c r="U11" i="28"/>
  <c r="O17" i="29" l="1"/>
  <c r="E12" i="16"/>
  <c r="N18" i="29"/>
  <c r="L13" i="27"/>
  <c r="AC15" i="27" s="1"/>
  <c r="G17" i="29"/>
  <c r="M12" i="28"/>
  <c r="I16" i="29"/>
  <c r="H16" i="29"/>
  <c r="U12" i="28"/>
  <c r="AC14" i="27"/>
  <c r="AC13" i="27"/>
  <c r="AC12" i="27"/>
  <c r="AC11" i="27"/>
  <c r="AC10" i="27"/>
  <c r="X21" i="27"/>
  <c r="Y21" i="28" s="1"/>
  <c r="X22" i="27"/>
  <c r="Y22" i="28" s="1"/>
  <c r="X20" i="27"/>
  <c r="Y20" i="28" s="1"/>
  <c r="X19" i="27"/>
  <c r="Y19" i="28" s="1"/>
  <c r="X18" i="27"/>
  <c r="Y18" i="28" s="1"/>
  <c r="X17" i="27"/>
  <c r="Y17" i="28" s="1"/>
  <c r="X16" i="27"/>
  <c r="Y16" i="28" s="1"/>
  <c r="X15" i="27"/>
  <c r="Y15" i="28" s="1"/>
  <c r="X14" i="27"/>
  <c r="Y14" i="28" s="1"/>
  <c r="X13" i="27"/>
  <c r="Y13" i="28" s="1"/>
  <c r="X12" i="27"/>
  <c r="Y12" i="28" s="1"/>
  <c r="X11" i="27"/>
  <c r="Y11" i="28" s="1"/>
  <c r="X10" i="27"/>
  <c r="Y10" i="28" s="1"/>
  <c r="X9" i="27"/>
  <c r="Y9" i="28" s="1"/>
  <c r="X8" i="27"/>
  <c r="Y8" i="28" s="1"/>
  <c r="X7" i="27"/>
  <c r="Y7" i="28" s="1"/>
  <c r="AC9" i="27"/>
  <c r="Q35" i="10"/>
  <c r="Q6" i="10"/>
  <c r="I18" i="16"/>
  <c r="C25" i="29" s="1"/>
  <c r="I17" i="16"/>
  <c r="C24" i="29" s="1"/>
  <c r="I16" i="16"/>
  <c r="C23" i="29" s="1"/>
  <c r="I15" i="16"/>
  <c r="C22" i="29" s="1"/>
  <c r="I14" i="16"/>
  <c r="C21" i="29" s="1"/>
  <c r="I13" i="16"/>
  <c r="C20" i="29" s="1"/>
  <c r="I12" i="16"/>
  <c r="C19" i="29" s="1"/>
  <c r="I11" i="16"/>
  <c r="C18" i="29" s="1"/>
  <c r="I10" i="16"/>
  <c r="C17" i="29" s="1"/>
  <c r="I9" i="16"/>
  <c r="C16" i="29" s="1"/>
  <c r="I8" i="16"/>
  <c r="C15" i="29" s="1"/>
  <c r="G18" i="16"/>
  <c r="T25" i="29" s="1"/>
  <c r="G17" i="16"/>
  <c r="T24" i="29" s="1"/>
  <c r="G16" i="16"/>
  <c r="T23" i="29" s="1"/>
  <c r="G15" i="16"/>
  <c r="T22" i="29" s="1"/>
  <c r="G14" i="16"/>
  <c r="T21" i="29" s="1"/>
  <c r="G13" i="16"/>
  <c r="T20" i="29" s="1"/>
  <c r="G12" i="16"/>
  <c r="T19" i="29" s="1"/>
  <c r="G11" i="16"/>
  <c r="T18" i="29" s="1"/>
  <c r="G10" i="16"/>
  <c r="T17" i="29" s="1"/>
  <c r="G9" i="16"/>
  <c r="T16" i="29" s="1"/>
  <c r="G8" i="16"/>
  <c r="T15" i="29" s="1"/>
  <c r="Z20" i="28"/>
  <c r="Z19" i="28"/>
  <c r="Z18" i="28"/>
  <c r="Z17" i="28"/>
  <c r="Z16" i="28"/>
  <c r="Z15" i="28"/>
  <c r="Z14" i="28"/>
  <c r="Z13" i="28"/>
  <c r="C13" i="16"/>
  <c r="AA15" i="28" s="1"/>
  <c r="C12" i="16"/>
  <c r="AA14" i="28" s="1"/>
  <c r="C14" i="16"/>
  <c r="AA16" i="28" s="1"/>
  <c r="C15" i="16"/>
  <c r="AA17" i="28" s="1"/>
  <c r="C16" i="16"/>
  <c r="AA18" i="28" s="1"/>
  <c r="C17" i="16"/>
  <c r="AA19" i="28" s="1"/>
  <c r="C18" i="16"/>
  <c r="AA20" i="28" s="1"/>
  <c r="C19" i="16"/>
  <c r="AA21" i="28" s="1"/>
  <c r="C20" i="16"/>
  <c r="AA22" i="28" s="1"/>
  <c r="Z22" i="28"/>
  <c r="Z21" i="28"/>
  <c r="Z12" i="28"/>
  <c r="Z11" i="28"/>
  <c r="Z10" i="28"/>
  <c r="Z9" i="28"/>
  <c r="Z8" i="28"/>
  <c r="Z7" i="28"/>
  <c r="O18" i="29" l="1"/>
  <c r="I17" i="29"/>
  <c r="H17" i="29"/>
  <c r="G18" i="29"/>
  <c r="M13" i="28"/>
  <c r="E13" i="16"/>
  <c r="N19" i="29"/>
  <c r="L14" i="27"/>
  <c r="BB13" i="28"/>
  <c r="BG14" i="28" s="1"/>
  <c r="U13" i="28"/>
  <c r="BB10" i="28"/>
  <c r="BC10" i="28" s="1"/>
  <c r="BM10" i="28" s="1"/>
  <c r="P7" i="28"/>
  <c r="O8" i="28"/>
  <c r="L56" i="10"/>
  <c r="L55" i="10"/>
  <c r="L27" i="10"/>
  <c r="L26" i="10"/>
  <c r="O19" i="29" l="1"/>
  <c r="G19" i="29"/>
  <c r="M14" i="28"/>
  <c r="AC16" i="27"/>
  <c r="I18" i="29"/>
  <c r="H18" i="29"/>
  <c r="E14" i="16"/>
  <c r="N20" i="29"/>
  <c r="L15" i="27"/>
  <c r="U14" i="28"/>
  <c r="O9" i="28"/>
  <c r="N8" i="28"/>
  <c r="O20" i="29" l="1"/>
  <c r="E15" i="16"/>
  <c r="N21" i="29"/>
  <c r="L16" i="27"/>
  <c r="G20" i="29"/>
  <c r="M15" i="28"/>
  <c r="AC17" i="27"/>
  <c r="I19" i="29"/>
  <c r="H19" i="29"/>
  <c r="U15" i="28"/>
  <c r="P8" i="28"/>
  <c r="O10" i="28"/>
  <c r="P25" i="18"/>
  <c r="O21" i="29" l="1"/>
  <c r="G21" i="29"/>
  <c r="M16" i="28"/>
  <c r="AC18" i="27"/>
  <c r="I20" i="29"/>
  <c r="H20" i="29"/>
  <c r="E16" i="16"/>
  <c r="C18" i="27" s="1"/>
  <c r="N22" i="29"/>
  <c r="L17" i="27"/>
  <c r="U16" i="28"/>
  <c r="O11" i="28"/>
  <c r="N9" i="28"/>
  <c r="AE11" i="27"/>
  <c r="AE10" i="27"/>
  <c r="AE9" i="27"/>
  <c r="C17" i="27"/>
  <c r="C16" i="27"/>
  <c r="C15" i="27"/>
  <c r="C14" i="27"/>
  <c r="C13" i="27"/>
  <c r="C12" i="27"/>
  <c r="C11" i="27"/>
  <c r="C10" i="27"/>
  <c r="C9" i="27"/>
  <c r="C8" i="27"/>
  <c r="C7" i="27"/>
  <c r="AH24" i="27"/>
  <c r="AF24" i="27"/>
  <c r="AH23" i="27"/>
  <c r="AF23" i="27"/>
  <c r="AH22" i="27"/>
  <c r="AF22" i="27"/>
  <c r="AH21" i="27"/>
  <c r="AF21" i="27"/>
  <c r="AH20" i="27"/>
  <c r="AF20" i="27"/>
  <c r="AH19" i="27"/>
  <c r="AF19" i="27"/>
  <c r="AH18" i="27"/>
  <c r="AF18" i="27"/>
  <c r="AH17" i="27"/>
  <c r="AF17" i="27"/>
  <c r="AH16" i="27"/>
  <c r="AF16" i="27"/>
  <c r="AH15" i="27"/>
  <c r="AF15" i="27"/>
  <c r="AH14" i="27"/>
  <c r="AF14" i="27"/>
  <c r="AH13" i="27"/>
  <c r="AF13" i="27"/>
  <c r="AH12" i="27"/>
  <c r="AF12" i="27"/>
  <c r="AH11" i="27"/>
  <c r="AF11" i="27"/>
  <c r="AD11" i="27"/>
  <c r="AH10" i="27"/>
  <c r="AF10" i="27"/>
  <c r="AD10" i="27"/>
  <c r="AH9" i="27"/>
  <c r="AF9" i="27"/>
  <c r="AD9" i="27"/>
  <c r="AB12" i="29"/>
  <c r="R20" i="16"/>
  <c r="X27" i="29" s="1"/>
  <c r="R19" i="16"/>
  <c r="X26" i="29" s="1"/>
  <c r="R18" i="16"/>
  <c r="X25" i="29" s="1"/>
  <c r="R17" i="16"/>
  <c r="X24" i="29" s="1"/>
  <c r="R16" i="16"/>
  <c r="X23" i="29" s="1"/>
  <c r="R15" i="16"/>
  <c r="X22" i="29" s="1"/>
  <c r="R14" i="16"/>
  <c r="X21" i="29" s="1"/>
  <c r="R13" i="16"/>
  <c r="X20" i="29" s="1"/>
  <c r="R12" i="16"/>
  <c r="X19" i="29" s="1"/>
  <c r="R11" i="16"/>
  <c r="X18" i="29" s="1"/>
  <c r="R10" i="16"/>
  <c r="X17" i="29" s="1"/>
  <c r="R9" i="16"/>
  <c r="X16" i="29" s="1"/>
  <c r="R8" i="16"/>
  <c r="X15" i="29" s="1"/>
  <c r="R7" i="16"/>
  <c r="X14" i="29" s="1"/>
  <c r="R6" i="16"/>
  <c r="X13" i="29" s="1"/>
  <c r="R5" i="16"/>
  <c r="X12" i="29" s="1"/>
  <c r="Q20" i="16"/>
  <c r="R27" i="29" s="1"/>
  <c r="Q19" i="16"/>
  <c r="R26" i="29" s="1"/>
  <c r="Q18" i="16"/>
  <c r="R25" i="29" s="1"/>
  <c r="Q17" i="16"/>
  <c r="R24" i="29" s="1"/>
  <c r="Q16" i="16"/>
  <c r="R23" i="29" s="1"/>
  <c r="Q15" i="16"/>
  <c r="R22" i="29" s="1"/>
  <c r="Q14" i="16"/>
  <c r="R21" i="29" s="1"/>
  <c r="Q13" i="16"/>
  <c r="R20" i="29" s="1"/>
  <c r="Q12" i="16"/>
  <c r="R19" i="29" s="1"/>
  <c r="Q11" i="16"/>
  <c r="R18" i="29" s="1"/>
  <c r="Q10" i="16"/>
  <c r="R17" i="29" s="1"/>
  <c r="Q9" i="16"/>
  <c r="R16" i="29" s="1"/>
  <c r="Q8" i="16"/>
  <c r="R15" i="29" s="1"/>
  <c r="Q7" i="16"/>
  <c r="R14" i="29" s="1"/>
  <c r="Q6" i="16"/>
  <c r="R13" i="29" s="1"/>
  <c r="Q5" i="16"/>
  <c r="R12" i="29" s="1"/>
  <c r="P20" i="16"/>
  <c r="Q27" i="29" s="1"/>
  <c r="P19" i="16"/>
  <c r="Q26" i="29" s="1"/>
  <c r="P18" i="16"/>
  <c r="Q25" i="29" s="1"/>
  <c r="P17" i="16"/>
  <c r="Q24" i="29" s="1"/>
  <c r="P16" i="16"/>
  <c r="Q23" i="29" s="1"/>
  <c r="P15" i="16"/>
  <c r="Q22" i="29" s="1"/>
  <c r="P14" i="16"/>
  <c r="Q21" i="29" s="1"/>
  <c r="P13" i="16"/>
  <c r="Q20" i="29" s="1"/>
  <c r="P12" i="16"/>
  <c r="Q19" i="29" s="1"/>
  <c r="P11" i="16"/>
  <c r="Q18" i="29" s="1"/>
  <c r="P10" i="16"/>
  <c r="Q17" i="29" s="1"/>
  <c r="P9" i="16"/>
  <c r="Q16" i="29" s="1"/>
  <c r="P8" i="16"/>
  <c r="Q15" i="29" s="1"/>
  <c r="P7" i="16"/>
  <c r="Q14" i="29" s="1"/>
  <c r="P6" i="16"/>
  <c r="Q13" i="29" s="1"/>
  <c r="P5" i="16"/>
  <c r="Q12" i="29" s="1"/>
  <c r="M20" i="16"/>
  <c r="M19" i="16"/>
  <c r="M18" i="16"/>
  <c r="M17" i="16"/>
  <c r="M16" i="16"/>
  <c r="M15" i="16"/>
  <c r="M14" i="16"/>
  <c r="M13" i="16"/>
  <c r="M12" i="16"/>
  <c r="M11" i="16"/>
  <c r="M10" i="16"/>
  <c r="M6" i="16"/>
  <c r="M5" i="16"/>
  <c r="L20" i="16"/>
  <c r="F27" i="29" s="1"/>
  <c r="L19" i="16"/>
  <c r="F26" i="29" s="1"/>
  <c r="L18" i="16"/>
  <c r="F25" i="29" s="1"/>
  <c r="L17" i="16"/>
  <c r="F24" i="29" s="1"/>
  <c r="L16" i="16"/>
  <c r="F23" i="29" s="1"/>
  <c r="L15" i="16"/>
  <c r="F22" i="29" s="1"/>
  <c r="L14" i="16"/>
  <c r="F21" i="29" s="1"/>
  <c r="L13" i="16"/>
  <c r="F20" i="29" s="1"/>
  <c r="L12" i="16"/>
  <c r="F19" i="29" s="1"/>
  <c r="L11" i="16"/>
  <c r="F18" i="29" s="1"/>
  <c r="L10" i="16"/>
  <c r="F17" i="29" s="1"/>
  <c r="L9" i="16"/>
  <c r="F16" i="29" s="1"/>
  <c r="L8" i="16"/>
  <c r="F15" i="29" s="1"/>
  <c r="L7" i="16"/>
  <c r="L6" i="16"/>
  <c r="L5" i="16"/>
  <c r="F12" i="29" s="1"/>
  <c r="J20" i="16"/>
  <c r="D27" i="29" s="1"/>
  <c r="J19" i="16"/>
  <c r="D26" i="29" s="1"/>
  <c r="J18" i="16"/>
  <c r="D25" i="29" s="1"/>
  <c r="J17" i="16"/>
  <c r="D24" i="29" s="1"/>
  <c r="J16" i="16"/>
  <c r="D23" i="29" s="1"/>
  <c r="J15" i="16"/>
  <c r="D22" i="29" s="1"/>
  <c r="J14" i="16"/>
  <c r="D21" i="29" s="1"/>
  <c r="J13" i="16"/>
  <c r="D20" i="29" s="1"/>
  <c r="J12" i="16"/>
  <c r="D19" i="29" s="1"/>
  <c r="J11" i="16"/>
  <c r="D18" i="29" s="1"/>
  <c r="J10" i="16"/>
  <c r="D17" i="29" s="1"/>
  <c r="J9" i="16"/>
  <c r="D16" i="29" s="1"/>
  <c r="J8" i="16"/>
  <c r="D15" i="29" s="1"/>
  <c r="J7" i="16"/>
  <c r="J6" i="16"/>
  <c r="J5" i="16"/>
  <c r="D12" i="29" s="1"/>
  <c r="I20" i="16"/>
  <c r="C27" i="29" s="1"/>
  <c r="I19" i="16"/>
  <c r="C26" i="29" s="1"/>
  <c r="I7" i="16"/>
  <c r="I5" i="16"/>
  <c r="C12" i="29" s="1"/>
  <c r="G20" i="16"/>
  <c r="T27" i="29" s="1"/>
  <c r="G19" i="16"/>
  <c r="T26" i="29" s="1"/>
  <c r="G7" i="16"/>
  <c r="T14" i="29" s="1"/>
  <c r="G6" i="16"/>
  <c r="T13" i="29" s="1"/>
  <c r="BK20" i="16"/>
  <c r="BK19" i="16"/>
  <c r="BK18" i="16"/>
  <c r="BK17" i="16"/>
  <c r="BK16" i="16"/>
  <c r="BK15" i="16"/>
  <c r="BK14" i="16"/>
  <c r="BK13" i="16"/>
  <c r="BK12" i="16"/>
  <c r="C11" i="16"/>
  <c r="AA13" i="28" s="1"/>
  <c r="C10" i="16"/>
  <c r="AA12" i="28" s="1"/>
  <c r="C9" i="16"/>
  <c r="AA11" i="28" s="1"/>
  <c r="C8" i="16"/>
  <c r="AA10" i="28" s="1"/>
  <c r="C7" i="16"/>
  <c r="AA9" i="28" s="1"/>
  <c r="C6" i="16"/>
  <c r="AA8" i="28" s="1"/>
  <c r="C5" i="16"/>
  <c r="AA7" i="28" s="1"/>
  <c r="O12" i="16" l="1"/>
  <c r="J19" i="29" s="1"/>
  <c r="N12" i="16"/>
  <c r="M19" i="29" s="1"/>
  <c r="N13" i="16"/>
  <c r="M20" i="29" s="1"/>
  <c r="O13" i="16"/>
  <c r="J20" i="29" s="1"/>
  <c r="O14" i="16"/>
  <c r="J21" i="29" s="1"/>
  <c r="N14" i="16"/>
  <c r="M21" i="29" s="1"/>
  <c r="O16" i="16"/>
  <c r="J23" i="29" s="1"/>
  <c r="N16" i="16"/>
  <c r="M23" i="29" s="1"/>
  <c r="N17" i="16"/>
  <c r="M24" i="29" s="1"/>
  <c r="O17" i="16"/>
  <c r="J24" i="29" s="1"/>
  <c r="N18" i="16"/>
  <c r="M25" i="29" s="1"/>
  <c r="O18" i="16"/>
  <c r="J25" i="29" s="1"/>
  <c r="O19" i="16"/>
  <c r="J26" i="29" s="1"/>
  <c r="N19" i="16"/>
  <c r="M26" i="29" s="1"/>
  <c r="O5" i="16"/>
  <c r="J12" i="29" s="1"/>
  <c r="N5" i="16"/>
  <c r="M12" i="29" s="1"/>
  <c r="O20" i="16"/>
  <c r="J27" i="29" s="1"/>
  <c r="N20" i="16"/>
  <c r="M27" i="29" s="1"/>
  <c r="O11" i="16"/>
  <c r="J18" i="29" s="1"/>
  <c r="N11" i="16"/>
  <c r="M18" i="29" s="1"/>
  <c r="O15" i="16"/>
  <c r="J22" i="29" s="1"/>
  <c r="N15" i="16"/>
  <c r="M22" i="29" s="1"/>
  <c r="N6" i="16"/>
  <c r="M13" i="29" s="1"/>
  <c r="O6" i="16"/>
  <c r="J13" i="29" s="1"/>
  <c r="O10" i="16"/>
  <c r="J17" i="29" s="1"/>
  <c r="N10" i="16"/>
  <c r="M17" i="29" s="1"/>
  <c r="O22" i="29"/>
  <c r="K17" i="29"/>
  <c r="K18" i="29"/>
  <c r="K20" i="29"/>
  <c r="K21" i="29"/>
  <c r="K22" i="29"/>
  <c r="K23" i="29"/>
  <c r="K24" i="29"/>
  <c r="K25" i="29"/>
  <c r="K19" i="29"/>
  <c r="K26" i="29"/>
  <c r="K12" i="29"/>
  <c r="K27" i="29"/>
  <c r="K13" i="29"/>
  <c r="G22" i="29"/>
  <c r="M17" i="28"/>
  <c r="AC19" i="27"/>
  <c r="E17" i="16"/>
  <c r="N23" i="29"/>
  <c r="L18" i="27"/>
  <c r="I21" i="29"/>
  <c r="H21" i="29"/>
  <c r="D14" i="29"/>
  <c r="F14" i="29"/>
  <c r="C14" i="29"/>
  <c r="D13" i="29"/>
  <c r="F13" i="29"/>
  <c r="C13" i="29"/>
  <c r="U17" i="28"/>
  <c r="D8" i="16"/>
  <c r="B10" i="27" s="1"/>
  <c r="C10" i="28" s="1"/>
  <c r="D5" i="16"/>
  <c r="B7" i="27" s="1"/>
  <c r="C7" i="28" s="1"/>
  <c r="BB9" i="28"/>
  <c r="BC9" i="28" s="1"/>
  <c r="BM9" i="28" s="1"/>
  <c r="BK11" i="16"/>
  <c r="D10" i="16"/>
  <c r="B12" i="27" s="1"/>
  <c r="C12" i="28" s="1"/>
  <c r="D6" i="16"/>
  <c r="B8" i="27" s="1"/>
  <c r="C8" i="28" s="1"/>
  <c r="D9" i="16"/>
  <c r="B11" i="27" s="1"/>
  <c r="C11" i="28" s="1"/>
  <c r="D7" i="16"/>
  <c r="B9" i="27" s="1"/>
  <c r="C9" i="28" s="1"/>
  <c r="AA10" i="27"/>
  <c r="D8" i="28"/>
  <c r="AA13" i="27"/>
  <c r="D11" i="28"/>
  <c r="AA17" i="27"/>
  <c r="D15" i="28"/>
  <c r="P9" i="28"/>
  <c r="AA18" i="27"/>
  <c r="D16" i="28"/>
  <c r="AA19" i="27"/>
  <c r="D17" i="28"/>
  <c r="AA9" i="27"/>
  <c r="D7" i="28"/>
  <c r="AA11" i="27"/>
  <c r="D9" i="28"/>
  <c r="AA12" i="27"/>
  <c r="D10" i="28"/>
  <c r="AA14" i="27"/>
  <c r="D12" i="28"/>
  <c r="AA15" i="27"/>
  <c r="D13" i="28"/>
  <c r="AA16" i="27"/>
  <c r="D14" i="28"/>
  <c r="AA20" i="27"/>
  <c r="D18" i="28"/>
  <c r="O12" i="28"/>
  <c r="CL14" i="16"/>
  <c r="CL15" i="16"/>
  <c r="CL16" i="16"/>
  <c r="CL11" i="16"/>
  <c r="CL12" i="16"/>
  <c r="CL13" i="16"/>
  <c r="CL26" i="16"/>
  <c r="D19" i="16"/>
  <c r="B21" i="27" s="1"/>
  <c r="C21" i="28" s="1"/>
  <c r="D20" i="16"/>
  <c r="B22" i="27" s="1"/>
  <c r="C22" i="28" s="1"/>
  <c r="A7" i="27"/>
  <c r="A8" i="27"/>
  <c r="A15" i="27"/>
  <c r="CL19" i="16"/>
  <c r="D11" i="16"/>
  <c r="B13" i="27" s="1"/>
  <c r="C13" i="28" s="1"/>
  <c r="A9" i="27"/>
  <c r="A14" i="27"/>
  <c r="CL18" i="16"/>
  <c r="A16" i="27"/>
  <c r="CL20" i="16"/>
  <c r="D12" i="16"/>
  <c r="B14" i="27" s="1"/>
  <c r="C14" i="28" s="1"/>
  <c r="A10" i="27"/>
  <c r="D13" i="16"/>
  <c r="B15" i="27" s="1"/>
  <c r="C15" i="28" s="1"/>
  <c r="A11" i="27"/>
  <c r="A13" i="27"/>
  <c r="CL17" i="16"/>
  <c r="D14" i="16"/>
  <c r="B16" i="27" s="1"/>
  <c r="C16" i="28" s="1"/>
  <c r="A12" i="27"/>
  <c r="A17" i="27"/>
  <c r="CL21" i="16"/>
  <c r="A19" i="27"/>
  <c r="CL23" i="16"/>
  <c r="D15" i="16"/>
  <c r="B17" i="27" s="1"/>
  <c r="C17" i="28" s="1"/>
  <c r="A22" i="27"/>
  <c r="A18" i="27"/>
  <c r="CL22" i="16"/>
  <c r="A20" i="27"/>
  <c r="CL24" i="16"/>
  <c r="D16" i="16"/>
  <c r="B18" i="27" s="1"/>
  <c r="C18" i="28" s="1"/>
  <c r="A21" i="27"/>
  <c r="CL25" i="16"/>
  <c r="D17" i="16"/>
  <c r="B19" i="27" s="1"/>
  <c r="C19" i="28" s="1"/>
  <c r="D18" i="16"/>
  <c r="B20" i="27" s="1"/>
  <c r="C20" i="28" s="1"/>
  <c r="BK9" i="16"/>
  <c r="BK7" i="16"/>
  <c r="BK8" i="16"/>
  <c r="BK10" i="16"/>
  <c r="BK5" i="16"/>
  <c r="BK6" i="16"/>
  <c r="O23" i="29" l="1"/>
  <c r="G23" i="29"/>
  <c r="M18" i="28"/>
  <c r="AC20" i="27"/>
  <c r="E18" i="16"/>
  <c r="N24" i="29"/>
  <c r="L19" i="27"/>
  <c r="C19" i="27"/>
  <c r="H22" i="29"/>
  <c r="I22" i="29"/>
  <c r="BB30" i="28"/>
  <c r="BK44" i="28" s="1"/>
  <c r="BB31" i="28"/>
  <c r="BS44" i="28" s="1"/>
  <c r="U18" i="28"/>
  <c r="AG9" i="27"/>
  <c r="Z9" i="27"/>
  <c r="AG11" i="27"/>
  <c r="AG12" i="27"/>
  <c r="Z11" i="27"/>
  <c r="AG10" i="27"/>
  <c r="AG14" i="27"/>
  <c r="Z12" i="27"/>
  <c r="AG13" i="27"/>
  <c r="Z10" i="27"/>
  <c r="Z14" i="27"/>
  <c r="Z13" i="27"/>
  <c r="AB23" i="27"/>
  <c r="B21" i="28"/>
  <c r="N10" i="28"/>
  <c r="AD12" i="27"/>
  <c r="AB22" i="27"/>
  <c r="B20" i="28"/>
  <c r="AB17" i="27"/>
  <c r="B15" i="28"/>
  <c r="AB9" i="27"/>
  <c r="B7" i="28"/>
  <c r="AB24" i="27"/>
  <c r="B22" i="28"/>
  <c r="AB12" i="27"/>
  <c r="B10" i="28"/>
  <c r="AB19" i="27"/>
  <c r="B17" i="28"/>
  <c r="O13" i="28"/>
  <c r="AB11" i="27"/>
  <c r="B9" i="28"/>
  <c r="AB15" i="27"/>
  <c r="B13" i="28"/>
  <c r="AB10" i="27"/>
  <c r="B8" i="28"/>
  <c r="AB16" i="27"/>
  <c r="B14" i="28"/>
  <c r="AB14" i="27"/>
  <c r="B12" i="28"/>
  <c r="AB13" i="27"/>
  <c r="B11" i="28"/>
  <c r="AB20" i="27"/>
  <c r="B18" i="28"/>
  <c r="AB21" i="27"/>
  <c r="B19" i="28"/>
  <c r="AB18" i="27"/>
  <c r="B16" i="28"/>
  <c r="Z21" i="27"/>
  <c r="AG21" i="27"/>
  <c r="Z20" i="27"/>
  <c r="AG20" i="27"/>
  <c r="Z18" i="27"/>
  <c r="AG18" i="27"/>
  <c r="Z15" i="27"/>
  <c r="AG15" i="27"/>
  <c r="Z22" i="27"/>
  <c r="AG22" i="27"/>
  <c r="Z17" i="27"/>
  <c r="AG17" i="27"/>
  <c r="Z24" i="27"/>
  <c r="AG24" i="27"/>
  <c r="Z19" i="27"/>
  <c r="AG19" i="27"/>
  <c r="Z16" i="27"/>
  <c r="AG16" i="27"/>
  <c r="Z23" i="27"/>
  <c r="AG23" i="27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5" i="16"/>
  <c r="W5" i="16"/>
  <c r="D14" i="18"/>
  <c r="D15" i="2"/>
  <c r="D16" i="2"/>
  <c r="D14" i="2"/>
  <c r="D18" i="5"/>
  <c r="D12" i="18"/>
  <c r="O24" i="29" l="1"/>
  <c r="AA21" i="27"/>
  <c r="D19" i="28"/>
  <c r="G24" i="29"/>
  <c r="M19" i="28"/>
  <c r="AC21" i="27"/>
  <c r="E19" i="16"/>
  <c r="N25" i="29"/>
  <c r="L20" i="27"/>
  <c r="C20" i="27"/>
  <c r="I23" i="29"/>
  <c r="H23" i="29"/>
  <c r="U19" i="28"/>
  <c r="O14" i="28"/>
  <c r="P10" i="28"/>
  <c r="AE12" i="27"/>
  <c r="M9" i="25"/>
  <c r="EH17" i="16" s="1"/>
  <c r="O25" i="29" l="1"/>
  <c r="AA22" i="27"/>
  <c r="D20" i="28"/>
  <c r="I24" i="29"/>
  <c r="H24" i="29"/>
  <c r="G25" i="29"/>
  <c r="M20" i="28"/>
  <c r="AC22" i="27"/>
  <c r="E20" i="16"/>
  <c r="N26" i="29"/>
  <c r="L21" i="27"/>
  <c r="C21" i="27"/>
  <c r="U20" i="28"/>
  <c r="N11" i="28"/>
  <c r="AD13" i="27"/>
  <c r="O15" i="28"/>
  <c r="D23" i="20"/>
  <c r="O26" i="29" l="1"/>
  <c r="G26" i="29"/>
  <c r="M21" i="28"/>
  <c r="AC23" i="27"/>
  <c r="H25" i="29"/>
  <c r="I25" i="29"/>
  <c r="AA23" i="27"/>
  <c r="D21" i="28"/>
  <c r="N27" i="29"/>
  <c r="L22" i="27"/>
  <c r="C22" i="27"/>
  <c r="U22" i="28"/>
  <c r="BB27" i="28" s="1"/>
  <c r="BZ39" i="28" s="1"/>
  <c r="U21" i="28"/>
  <c r="O16" i="28"/>
  <c r="P11" i="28"/>
  <c r="AE13" i="27"/>
  <c r="R25" i="23"/>
  <c r="O27" i="29" l="1"/>
  <c r="D22" i="28"/>
  <c r="AA24" i="27"/>
  <c r="G27" i="29"/>
  <c r="M22" i="28"/>
  <c r="AC24" i="27"/>
  <c r="H26" i="29"/>
  <c r="I26" i="29"/>
  <c r="N12" i="28"/>
  <c r="AD14" i="27"/>
  <c r="O17" i="28"/>
  <c r="M9" i="22"/>
  <c r="EH15" i="16" s="1"/>
  <c r="I27" i="29" l="1"/>
  <c r="H27" i="29"/>
  <c r="P12" i="28"/>
  <c r="AE14" i="27"/>
  <c r="O18" i="28"/>
  <c r="BL20" i="16"/>
  <c r="BL19" i="16"/>
  <c r="BL18" i="16"/>
  <c r="BL17" i="16"/>
  <c r="BL16" i="16"/>
  <c r="BL15" i="16"/>
  <c r="BL14" i="16"/>
  <c r="BL13" i="16"/>
  <c r="BL12" i="16"/>
  <c r="BL11" i="16"/>
  <c r="BL10" i="16"/>
  <c r="BL9" i="16"/>
  <c r="BL8" i="16"/>
  <c r="BL7" i="16"/>
  <c r="BL6" i="16"/>
  <c r="BL5" i="16"/>
  <c r="CE20" i="16"/>
  <c r="CD20" i="16"/>
  <c r="CC20" i="16"/>
  <c r="CE19" i="16"/>
  <c r="CD19" i="16"/>
  <c r="CC19" i="16"/>
  <c r="CE18" i="16"/>
  <c r="CD18" i="16"/>
  <c r="CC18" i="16"/>
  <c r="CE17" i="16"/>
  <c r="CD17" i="16"/>
  <c r="CC17" i="16"/>
  <c r="CE16" i="16"/>
  <c r="CD16" i="16"/>
  <c r="CC16" i="16"/>
  <c r="CE15" i="16"/>
  <c r="CD15" i="16"/>
  <c r="CC15" i="16"/>
  <c r="CE14" i="16"/>
  <c r="CD14" i="16"/>
  <c r="CC14" i="16"/>
  <c r="CE13" i="16"/>
  <c r="CD13" i="16"/>
  <c r="CC13" i="16"/>
  <c r="CE12" i="16"/>
  <c r="CD12" i="16"/>
  <c r="CC12" i="16"/>
  <c r="CE11" i="16"/>
  <c r="CD11" i="16"/>
  <c r="CC11" i="16"/>
  <c r="CE10" i="16"/>
  <c r="CD10" i="16"/>
  <c r="CC10" i="16"/>
  <c r="CE9" i="16"/>
  <c r="CD9" i="16"/>
  <c r="CC9" i="16"/>
  <c r="CE8" i="16"/>
  <c r="CD8" i="16"/>
  <c r="CC8" i="16"/>
  <c r="CE7" i="16"/>
  <c r="CD7" i="16"/>
  <c r="CC7" i="16"/>
  <c r="CE6" i="16"/>
  <c r="CD6" i="16"/>
  <c r="CC6" i="16"/>
  <c r="CE5" i="16"/>
  <c r="CD5" i="16"/>
  <c r="CC5" i="16"/>
  <c r="O19" i="28" l="1"/>
  <c r="N13" i="28"/>
  <c r="AD15" i="27"/>
  <c r="G22" i="23"/>
  <c r="DK47" i="16"/>
  <c r="DG47" i="16"/>
  <c r="DF47" i="16"/>
  <c r="DK46" i="16"/>
  <c r="DK45" i="16"/>
  <c r="DK44" i="16"/>
  <c r="DG45" i="16"/>
  <c r="DG44" i="16"/>
  <c r="DF45" i="16"/>
  <c r="DF44" i="16"/>
  <c r="DM42" i="16"/>
  <c r="DG46" i="16"/>
  <c r="DF46" i="16"/>
  <c r="DG43" i="16"/>
  <c r="DF43" i="16"/>
  <c r="DG42" i="16"/>
  <c r="DF42" i="16"/>
  <c r="DM39" i="16"/>
  <c r="DM38" i="16"/>
  <c r="DG41" i="16"/>
  <c r="DF41" i="16"/>
  <c r="DG40" i="16"/>
  <c r="DF40" i="16"/>
  <c r="DG39" i="16"/>
  <c r="DF39" i="16"/>
  <c r="DG38" i="16"/>
  <c r="DF38" i="16"/>
  <c r="DK37" i="16"/>
  <c r="DM35" i="16"/>
  <c r="DM34" i="16"/>
  <c r="DG37" i="16"/>
  <c r="DF37" i="16"/>
  <c r="DG36" i="16"/>
  <c r="DF36" i="16"/>
  <c r="DG35" i="16"/>
  <c r="DF35" i="16"/>
  <c r="DG34" i="16"/>
  <c r="DF34" i="16"/>
  <c r="DK33" i="16"/>
  <c r="DM31" i="16"/>
  <c r="DM30" i="16"/>
  <c r="DM19" i="16"/>
  <c r="DM16" i="16"/>
  <c r="DK18" i="16"/>
  <c r="DK17" i="16"/>
  <c r="DK15" i="16"/>
  <c r="DK14" i="16"/>
  <c r="DG19" i="16"/>
  <c r="DF19" i="16"/>
  <c r="DG18" i="16"/>
  <c r="DF18" i="16"/>
  <c r="DG17" i="16"/>
  <c r="DF17" i="16"/>
  <c r="P13" i="28" l="1"/>
  <c r="AE15" i="27"/>
  <c r="O20" i="28"/>
  <c r="Q25" i="25"/>
  <c r="P25" i="25"/>
  <c r="O25" i="25"/>
  <c r="E22" i="25"/>
  <c r="DM47" i="16" s="1"/>
  <c r="E16" i="25"/>
  <c r="E15" i="25"/>
  <c r="E14" i="25"/>
  <c r="E13" i="25"/>
  <c r="E12" i="25"/>
  <c r="E11" i="25"/>
  <c r="E10" i="25"/>
  <c r="E9" i="25"/>
  <c r="E8" i="25"/>
  <c r="E7" i="25"/>
  <c r="E6" i="25"/>
  <c r="F30" i="25"/>
  <c r="F29" i="25"/>
  <c r="F28" i="25"/>
  <c r="D30" i="25"/>
  <c r="D29" i="25"/>
  <c r="D28" i="25"/>
  <c r="B31" i="25"/>
  <c r="B30" i="25"/>
  <c r="B29" i="25"/>
  <c r="N25" i="25"/>
  <c r="N24" i="25"/>
  <c r="L24" i="25"/>
  <c r="N23" i="25"/>
  <c r="L23" i="25"/>
  <c r="N22" i="25"/>
  <c r="L22" i="25"/>
  <c r="N21" i="25"/>
  <c r="L21" i="25"/>
  <c r="N20" i="25"/>
  <c r="L20" i="25"/>
  <c r="N19" i="25"/>
  <c r="L19" i="25"/>
  <c r="N18" i="25"/>
  <c r="L18" i="25"/>
  <c r="N17" i="25"/>
  <c r="L17" i="25"/>
  <c r="N16" i="25"/>
  <c r="L16" i="25"/>
  <c r="N15" i="25"/>
  <c r="L15" i="25"/>
  <c r="N14" i="25"/>
  <c r="L14" i="25"/>
  <c r="N13" i="25"/>
  <c r="L13" i="25"/>
  <c r="N12" i="25"/>
  <c r="L12" i="25"/>
  <c r="N11" i="25"/>
  <c r="L11" i="25"/>
  <c r="N10" i="25"/>
  <c r="L10" i="25"/>
  <c r="N9" i="25"/>
  <c r="DH47" i="16"/>
  <c r="L9" i="25"/>
  <c r="O13" i="23"/>
  <c r="H30" i="23"/>
  <c r="H29" i="23"/>
  <c r="H28" i="23"/>
  <c r="G30" i="23"/>
  <c r="G29" i="23"/>
  <c r="G28" i="23"/>
  <c r="F30" i="23"/>
  <c r="F29" i="23"/>
  <c r="F28" i="23"/>
  <c r="D30" i="23"/>
  <c r="D29" i="23"/>
  <c r="D28" i="23"/>
  <c r="P25" i="23"/>
  <c r="D35" i="23"/>
  <c r="D34" i="23"/>
  <c r="D33" i="23"/>
  <c r="C35" i="23"/>
  <c r="C34" i="23"/>
  <c r="C33" i="23"/>
  <c r="B35" i="23"/>
  <c r="B34" i="23"/>
  <c r="B33" i="23"/>
  <c r="O21" i="28" l="1"/>
  <c r="O22" i="28"/>
  <c r="N14" i="28"/>
  <c r="AD16" i="27"/>
  <c r="F22" i="25"/>
  <c r="DN47" i="16" s="1"/>
  <c r="F16" i="25"/>
  <c r="F11" i="25"/>
  <c r="F7" i="25"/>
  <c r="F15" i="25"/>
  <c r="F9" i="25"/>
  <c r="F13" i="25"/>
  <c r="F6" i="25"/>
  <c r="F8" i="25"/>
  <c r="F10" i="25"/>
  <c r="F12" i="25"/>
  <c r="F14" i="25"/>
  <c r="E21" i="25"/>
  <c r="F21" i="25" s="1"/>
  <c r="E20" i="25"/>
  <c r="F20" i="25" s="1"/>
  <c r="E19" i="25"/>
  <c r="F19" i="25" s="1"/>
  <c r="E18" i="25"/>
  <c r="F18" i="25" s="1"/>
  <c r="E17" i="25"/>
  <c r="F17" i="25" s="1"/>
  <c r="G21" i="23"/>
  <c r="G20" i="23"/>
  <c r="G19" i="23"/>
  <c r="G18" i="23"/>
  <c r="G17" i="23"/>
  <c r="G16" i="23"/>
  <c r="G15" i="23"/>
  <c r="G14" i="23"/>
  <c r="G13" i="23"/>
  <c r="G12" i="23"/>
  <c r="G11" i="23"/>
  <c r="G10" i="23"/>
  <c r="G9" i="23"/>
  <c r="G8" i="23"/>
  <c r="G7" i="23"/>
  <c r="G6" i="23"/>
  <c r="B13" i="23"/>
  <c r="N25" i="23"/>
  <c r="N24" i="23"/>
  <c r="L24" i="23"/>
  <c r="N23" i="23"/>
  <c r="L23" i="23"/>
  <c r="N22" i="23"/>
  <c r="L22" i="23"/>
  <c r="N21" i="23"/>
  <c r="L21" i="23"/>
  <c r="N20" i="23"/>
  <c r="L20" i="23"/>
  <c r="N19" i="23"/>
  <c r="L19" i="23"/>
  <c r="N18" i="23"/>
  <c r="L18" i="23"/>
  <c r="N17" i="23"/>
  <c r="L17" i="23"/>
  <c r="N16" i="23"/>
  <c r="L16" i="23"/>
  <c r="N15" i="23"/>
  <c r="L15" i="23"/>
  <c r="N14" i="23"/>
  <c r="L14" i="23"/>
  <c r="N13" i="23"/>
  <c r="L13" i="23"/>
  <c r="N12" i="23"/>
  <c r="L12" i="23"/>
  <c r="N11" i="23"/>
  <c r="L11" i="23"/>
  <c r="N10" i="23"/>
  <c r="L10" i="23"/>
  <c r="N9" i="23"/>
  <c r="M9" i="23"/>
  <c r="EH16" i="16" s="1"/>
  <c r="L9" i="23"/>
  <c r="C30" i="22"/>
  <c r="B30" i="22"/>
  <c r="C29" i="22"/>
  <c r="B29" i="22"/>
  <c r="F30" i="22"/>
  <c r="F29" i="22"/>
  <c r="F28" i="22"/>
  <c r="D30" i="22"/>
  <c r="D29" i="22"/>
  <c r="D28" i="22"/>
  <c r="B31" i="22"/>
  <c r="G6" i="22"/>
  <c r="N24" i="22"/>
  <c r="L24" i="22"/>
  <c r="N23" i="22"/>
  <c r="L23" i="22"/>
  <c r="N22" i="22"/>
  <c r="L22" i="22"/>
  <c r="N21" i="22"/>
  <c r="L21" i="22"/>
  <c r="N20" i="22"/>
  <c r="L20" i="22"/>
  <c r="N19" i="22"/>
  <c r="L19" i="22"/>
  <c r="N18" i="22"/>
  <c r="L18" i="22"/>
  <c r="N17" i="22"/>
  <c r="L17" i="22"/>
  <c r="N16" i="22"/>
  <c r="L16" i="22"/>
  <c r="N15" i="22"/>
  <c r="L15" i="22"/>
  <c r="N14" i="22"/>
  <c r="L14" i="22"/>
  <c r="N13" i="22"/>
  <c r="L13" i="22"/>
  <c r="S12" i="22"/>
  <c r="N12" i="22"/>
  <c r="L12" i="22"/>
  <c r="N11" i="22"/>
  <c r="L11" i="22"/>
  <c r="N10" i="22"/>
  <c r="L10" i="22"/>
  <c r="O9" i="22"/>
  <c r="N9" i="22"/>
  <c r="L9" i="22"/>
  <c r="R25" i="21"/>
  <c r="F30" i="21"/>
  <c r="F29" i="21"/>
  <c r="F28" i="21"/>
  <c r="D30" i="21"/>
  <c r="D29" i="21"/>
  <c r="D28" i="21"/>
  <c r="B31" i="21"/>
  <c r="B30" i="21"/>
  <c r="B29" i="21"/>
  <c r="G6" i="21"/>
  <c r="DM36" i="16" s="1"/>
  <c r="P14" i="28" l="1"/>
  <c r="AE16" i="27"/>
  <c r="DM40" i="16"/>
  <c r="H11" i="22"/>
  <c r="J11" i="22" s="1"/>
  <c r="K11" i="22" s="1"/>
  <c r="DM43" i="16"/>
  <c r="O9" i="23"/>
  <c r="DH44" i="16"/>
  <c r="DH45" i="16"/>
  <c r="DH42" i="16"/>
  <c r="DH46" i="16"/>
  <c r="DH43" i="16"/>
  <c r="DH41" i="16"/>
  <c r="DH39" i="16"/>
  <c r="DH40" i="16"/>
  <c r="DH38" i="16"/>
  <c r="H22" i="23"/>
  <c r="R25" i="25"/>
  <c r="S25" i="25"/>
  <c r="D6" i="23"/>
  <c r="I6" i="23" s="1"/>
  <c r="D8" i="23"/>
  <c r="I8" i="23" s="1"/>
  <c r="D10" i="23"/>
  <c r="I10" i="23" s="1"/>
  <c r="D12" i="23"/>
  <c r="I12" i="23" s="1"/>
  <c r="D14" i="23"/>
  <c r="I14" i="23" s="1"/>
  <c r="D16" i="23"/>
  <c r="I16" i="23" s="1"/>
  <c r="D18" i="23"/>
  <c r="I18" i="23" s="1"/>
  <c r="D20" i="23"/>
  <c r="I20" i="23" s="1"/>
  <c r="D22" i="23"/>
  <c r="Q25" i="23" s="1"/>
  <c r="F7" i="23"/>
  <c r="J7" i="23" s="1"/>
  <c r="F9" i="23"/>
  <c r="J9" i="23" s="1"/>
  <c r="F11" i="23"/>
  <c r="J11" i="23" s="1"/>
  <c r="F13" i="23"/>
  <c r="J13" i="23" s="1"/>
  <c r="F15" i="23"/>
  <c r="J15" i="23" s="1"/>
  <c r="F17" i="23"/>
  <c r="J17" i="23" s="1"/>
  <c r="F19" i="23"/>
  <c r="J19" i="23" s="1"/>
  <c r="F21" i="23"/>
  <c r="J21" i="23" s="1"/>
  <c r="H12" i="23"/>
  <c r="K12" i="23" s="1"/>
  <c r="H7" i="23"/>
  <c r="K7" i="23" s="1"/>
  <c r="H9" i="23"/>
  <c r="K9" i="23" s="1"/>
  <c r="H11" i="23"/>
  <c r="K11" i="23" s="1"/>
  <c r="H15" i="23"/>
  <c r="K15" i="23" s="1"/>
  <c r="H17" i="23"/>
  <c r="K17" i="23" s="1"/>
  <c r="H19" i="23"/>
  <c r="K19" i="23" s="1"/>
  <c r="H21" i="23"/>
  <c r="K21" i="23" s="1"/>
  <c r="D7" i="23"/>
  <c r="I7" i="23" s="1"/>
  <c r="D9" i="23"/>
  <c r="I9" i="23" s="1"/>
  <c r="D11" i="23"/>
  <c r="I11" i="23" s="1"/>
  <c r="D13" i="23"/>
  <c r="I13" i="23" s="1"/>
  <c r="D15" i="23"/>
  <c r="I15" i="23" s="1"/>
  <c r="D17" i="23"/>
  <c r="I17" i="23" s="1"/>
  <c r="D19" i="23"/>
  <c r="I19" i="23" s="1"/>
  <c r="D21" i="23"/>
  <c r="I21" i="23" s="1"/>
  <c r="F6" i="23"/>
  <c r="J6" i="23" s="1"/>
  <c r="F8" i="23"/>
  <c r="J8" i="23" s="1"/>
  <c r="F10" i="23"/>
  <c r="J10" i="23" s="1"/>
  <c r="F12" i="23"/>
  <c r="J12" i="23" s="1"/>
  <c r="F14" i="23"/>
  <c r="J14" i="23" s="1"/>
  <c r="F16" i="23"/>
  <c r="J16" i="23" s="1"/>
  <c r="F18" i="23"/>
  <c r="J18" i="23" s="1"/>
  <c r="F20" i="23"/>
  <c r="J20" i="23" s="1"/>
  <c r="F22" i="23"/>
  <c r="S25" i="23" s="1"/>
  <c r="H13" i="23"/>
  <c r="K13" i="23" s="1"/>
  <c r="H6" i="23"/>
  <c r="K6" i="23" s="1"/>
  <c r="H8" i="23"/>
  <c r="K8" i="23" s="1"/>
  <c r="H10" i="23"/>
  <c r="K10" i="23" s="1"/>
  <c r="H14" i="23"/>
  <c r="K14" i="23" s="1"/>
  <c r="H16" i="23"/>
  <c r="K16" i="23" s="1"/>
  <c r="H18" i="23"/>
  <c r="K18" i="23" s="1"/>
  <c r="H20" i="23"/>
  <c r="K20" i="23" s="1"/>
  <c r="H21" i="22"/>
  <c r="J21" i="22" s="1"/>
  <c r="K21" i="22" s="1"/>
  <c r="H7" i="22"/>
  <c r="J7" i="22" s="1"/>
  <c r="K7" i="22" s="1"/>
  <c r="H14" i="22"/>
  <c r="J14" i="22" s="1"/>
  <c r="K14" i="22" s="1"/>
  <c r="H18" i="22"/>
  <c r="J18" i="22" s="1"/>
  <c r="K18" i="22" s="1"/>
  <c r="H10" i="22"/>
  <c r="J10" i="22" s="1"/>
  <c r="K10" i="22" s="1"/>
  <c r="H6" i="22"/>
  <c r="H15" i="22"/>
  <c r="H19" i="22"/>
  <c r="J19" i="22" s="1"/>
  <c r="K19" i="22" s="1"/>
  <c r="H9" i="22"/>
  <c r="J9" i="22" s="1"/>
  <c r="K9" i="22" s="1"/>
  <c r="H12" i="22"/>
  <c r="H16" i="22"/>
  <c r="H20" i="22"/>
  <c r="H8" i="22"/>
  <c r="H13" i="22"/>
  <c r="H17" i="22"/>
  <c r="J17" i="22" s="1"/>
  <c r="K17" i="22" s="1"/>
  <c r="S9" i="22"/>
  <c r="N15" i="28" l="1"/>
  <c r="AD17" i="27"/>
  <c r="U20" i="22"/>
  <c r="CF16" i="16" s="1"/>
  <c r="BU23" i="29" s="1"/>
  <c r="U12" i="22"/>
  <c r="CF8" i="16" s="1"/>
  <c r="BU15" i="29" s="1"/>
  <c r="U13" i="22"/>
  <c r="CF9" i="16" s="1"/>
  <c r="BU16" i="29" s="1"/>
  <c r="U17" i="22"/>
  <c r="CF13" i="16" s="1"/>
  <c r="BU20" i="29" s="1"/>
  <c r="U22" i="22"/>
  <c r="CF18" i="16" s="1"/>
  <c r="BU25" i="29" s="1"/>
  <c r="U21" i="22"/>
  <c r="CF17" i="16" s="1"/>
  <c r="BU24" i="29" s="1"/>
  <c r="U10" i="22"/>
  <c r="CF6" i="16" s="1"/>
  <c r="BU13" i="29" s="1"/>
  <c r="U14" i="22"/>
  <c r="CF10" i="16" s="1"/>
  <c r="BU17" i="29" s="1"/>
  <c r="U24" i="22"/>
  <c r="CF20" i="16" s="1"/>
  <c r="BU27" i="29" s="1"/>
  <c r="I11" i="22"/>
  <c r="I21" i="22"/>
  <c r="J22" i="23"/>
  <c r="DN45" i="16" s="1"/>
  <c r="DM45" i="16"/>
  <c r="K22" i="23"/>
  <c r="DN46" i="16" s="1"/>
  <c r="DM46" i="16"/>
  <c r="I22" i="23"/>
  <c r="DN44" i="16" s="1"/>
  <c r="DM44" i="16"/>
  <c r="I17" i="22"/>
  <c r="I7" i="22"/>
  <c r="I10" i="22"/>
  <c r="I9" i="22"/>
  <c r="I13" i="22"/>
  <c r="J13" i="22"/>
  <c r="K13" i="22" s="1"/>
  <c r="I18" i="22"/>
  <c r="I20" i="22"/>
  <c r="J20" i="22"/>
  <c r="K20" i="22" s="1"/>
  <c r="I19" i="22"/>
  <c r="I8" i="22"/>
  <c r="J8" i="22"/>
  <c r="K8" i="22" s="1"/>
  <c r="I16" i="22"/>
  <c r="J16" i="22"/>
  <c r="K16" i="22" s="1"/>
  <c r="I15" i="22"/>
  <c r="J15" i="22"/>
  <c r="K15" i="22" s="1"/>
  <c r="I12" i="22"/>
  <c r="J12" i="22"/>
  <c r="K12" i="22" s="1"/>
  <c r="I6" i="22"/>
  <c r="J6" i="22"/>
  <c r="K6" i="22" s="1"/>
  <c r="I14" i="22"/>
  <c r="P15" i="28" l="1"/>
  <c r="AE17" i="27"/>
  <c r="CX16" i="16"/>
  <c r="CX12" i="16"/>
  <c r="CX23" i="16"/>
  <c r="CX24" i="16"/>
  <c r="CX26" i="16"/>
  <c r="CX19" i="16"/>
  <c r="CX15" i="16"/>
  <c r="CX14" i="16"/>
  <c r="CX22" i="16"/>
  <c r="U15" i="22"/>
  <c r="CF11" i="16" s="1"/>
  <c r="BU18" i="29" s="1"/>
  <c r="U19" i="22"/>
  <c r="CF15" i="16" s="1"/>
  <c r="BU22" i="29" s="1"/>
  <c r="T17" i="22"/>
  <c r="BW13" i="16" s="1"/>
  <c r="BL20" i="29" s="1"/>
  <c r="T9" i="22"/>
  <c r="BW5" i="16" s="1"/>
  <c r="BL12" i="29" s="1"/>
  <c r="T15" i="22"/>
  <c r="BW11" i="16" s="1"/>
  <c r="BL18" i="29" s="1"/>
  <c r="T18" i="22"/>
  <c r="BW14" i="16" s="1"/>
  <c r="BL21" i="29" s="1"/>
  <c r="T19" i="22"/>
  <c r="BW15" i="16" s="1"/>
  <c r="BL22" i="29" s="1"/>
  <c r="T11" i="22"/>
  <c r="BW7" i="16" s="1"/>
  <c r="BL14" i="29" s="1"/>
  <c r="U23" i="22"/>
  <c r="CF19" i="16" s="1"/>
  <c r="BU26" i="29" s="1"/>
  <c r="T21" i="22"/>
  <c r="BW17" i="16" s="1"/>
  <c r="BL24" i="29" s="1"/>
  <c r="T16" i="22"/>
  <c r="BW12" i="16" s="1"/>
  <c r="BL19" i="29" s="1"/>
  <c r="T13" i="22"/>
  <c r="BW9" i="16" s="1"/>
  <c r="BL16" i="29" s="1"/>
  <c r="T20" i="22"/>
  <c r="BW16" i="16" s="1"/>
  <c r="BL23" i="29" s="1"/>
  <c r="U9" i="22"/>
  <c r="CF5" i="16" s="1"/>
  <c r="BU12" i="29" s="1"/>
  <c r="U18" i="22"/>
  <c r="CF14" i="16" s="1"/>
  <c r="BU21" i="29" s="1"/>
  <c r="U11" i="22"/>
  <c r="CF7" i="16" s="1"/>
  <c r="BU14" i="29" s="1"/>
  <c r="T22" i="22"/>
  <c r="BW18" i="16" s="1"/>
  <c r="BL25" i="29" s="1"/>
  <c r="T23" i="22"/>
  <c r="BW19" i="16" s="1"/>
  <c r="BL26" i="29" s="1"/>
  <c r="U16" i="22"/>
  <c r="CF12" i="16" s="1"/>
  <c r="BU19" i="29" s="1"/>
  <c r="T12" i="22"/>
  <c r="BW8" i="16" s="1"/>
  <c r="BL15" i="29" s="1"/>
  <c r="T10" i="22"/>
  <c r="BW6" i="16" s="1"/>
  <c r="BL13" i="29" s="1"/>
  <c r="T14" i="22"/>
  <c r="BW10" i="16" s="1"/>
  <c r="BL17" i="29" s="1"/>
  <c r="T24" i="22"/>
  <c r="BW20" i="16" s="1"/>
  <c r="BL27" i="29" s="1"/>
  <c r="S26" i="23"/>
  <c r="Q26" i="23"/>
  <c r="P25" i="21"/>
  <c r="N25" i="21"/>
  <c r="N24" i="21"/>
  <c r="L24" i="21"/>
  <c r="N23" i="21"/>
  <c r="L23" i="21"/>
  <c r="N22" i="21"/>
  <c r="L22" i="21"/>
  <c r="D22" i="21"/>
  <c r="N21" i="21"/>
  <c r="L21" i="21"/>
  <c r="D21" i="21"/>
  <c r="H21" i="21" s="1"/>
  <c r="I21" i="21" s="1"/>
  <c r="T24" i="21" s="1"/>
  <c r="BR20" i="16" s="1"/>
  <c r="BG27" i="29" s="1"/>
  <c r="N20" i="21"/>
  <c r="L20" i="21"/>
  <c r="D20" i="21"/>
  <c r="N19" i="21"/>
  <c r="L19" i="21"/>
  <c r="D19" i="21"/>
  <c r="H19" i="21" s="1"/>
  <c r="I19" i="21" s="1"/>
  <c r="T22" i="21" s="1"/>
  <c r="BR18" i="16" s="1"/>
  <c r="BG25" i="29" s="1"/>
  <c r="N18" i="21"/>
  <c r="L18" i="21"/>
  <c r="D18" i="21"/>
  <c r="N17" i="21"/>
  <c r="L17" i="21"/>
  <c r="D17" i="21"/>
  <c r="H17" i="21" s="1"/>
  <c r="I17" i="21" s="1"/>
  <c r="T20" i="21" s="1"/>
  <c r="BR16" i="16" s="1"/>
  <c r="BG23" i="29" s="1"/>
  <c r="N16" i="21"/>
  <c r="L16" i="21"/>
  <c r="D16" i="21"/>
  <c r="N15" i="21"/>
  <c r="L15" i="21"/>
  <c r="D15" i="21"/>
  <c r="H15" i="21" s="1"/>
  <c r="I15" i="21" s="1"/>
  <c r="T18" i="21" s="1"/>
  <c r="BR14" i="16" s="1"/>
  <c r="BG21" i="29" s="1"/>
  <c r="N14" i="21"/>
  <c r="L14" i="21"/>
  <c r="D14" i="21"/>
  <c r="N13" i="21"/>
  <c r="L13" i="21"/>
  <c r="D13" i="21"/>
  <c r="H13" i="21" s="1"/>
  <c r="I13" i="21" s="1"/>
  <c r="T16" i="21" s="1"/>
  <c r="BR12" i="16" s="1"/>
  <c r="BG19" i="29" s="1"/>
  <c r="S12" i="21"/>
  <c r="N12" i="21"/>
  <c r="L12" i="21"/>
  <c r="D12" i="21"/>
  <c r="H12" i="21" s="1"/>
  <c r="N11" i="21"/>
  <c r="L11" i="21"/>
  <c r="D11" i="21"/>
  <c r="H11" i="21" s="1"/>
  <c r="I11" i="21" s="1"/>
  <c r="T14" i="21" s="1"/>
  <c r="BR10" i="16" s="1"/>
  <c r="BG17" i="29" s="1"/>
  <c r="N10" i="21"/>
  <c r="L10" i="21"/>
  <c r="D10" i="21"/>
  <c r="H10" i="21" s="1"/>
  <c r="S9" i="21"/>
  <c r="O9" i="21"/>
  <c r="N9" i="21"/>
  <c r="M9" i="21"/>
  <c r="EH14" i="16" s="1"/>
  <c r="L9" i="21"/>
  <c r="D9" i="21"/>
  <c r="H9" i="21" s="1"/>
  <c r="I9" i="21" s="1"/>
  <c r="T12" i="21" s="1"/>
  <c r="BR8" i="16" s="1"/>
  <c r="BG15" i="29" s="1"/>
  <c r="D8" i="21"/>
  <c r="H8" i="21" s="1"/>
  <c r="I8" i="21" s="1"/>
  <c r="T11" i="21" s="1"/>
  <c r="BR7" i="16" s="1"/>
  <c r="BG14" i="29" s="1"/>
  <c r="D7" i="21"/>
  <c r="H7" i="21" s="1"/>
  <c r="I7" i="21" s="1"/>
  <c r="T10" i="21" s="1"/>
  <c r="BR6" i="16" s="1"/>
  <c r="BG13" i="29" s="1"/>
  <c r="D6" i="21"/>
  <c r="H6" i="21" s="1"/>
  <c r="I6" i="21" s="1"/>
  <c r="T9" i="21" s="1"/>
  <c r="BR5" i="16" s="1"/>
  <c r="BG12" i="29" s="1"/>
  <c r="N16" i="28" l="1"/>
  <c r="AD18" i="27"/>
  <c r="CR13" i="16"/>
  <c r="CW25" i="16"/>
  <c r="CW20" i="16"/>
  <c r="CR14" i="16"/>
  <c r="CW24" i="16"/>
  <c r="CW17" i="16"/>
  <c r="CX20" i="16"/>
  <c r="CW19" i="16"/>
  <c r="CW11" i="16"/>
  <c r="CX11" i="16"/>
  <c r="CX21" i="16"/>
  <c r="CX17" i="16"/>
  <c r="CR22" i="16"/>
  <c r="CW15" i="16"/>
  <c r="CW22" i="16"/>
  <c r="CW26" i="16"/>
  <c r="CW18" i="16"/>
  <c r="CX13" i="16"/>
  <c r="CR26" i="16"/>
  <c r="CW16" i="16"/>
  <c r="CW23" i="16"/>
  <c r="CR18" i="16"/>
  <c r="CW12" i="16"/>
  <c r="CX25" i="16"/>
  <c r="CR11" i="16"/>
  <c r="CR16" i="16"/>
  <c r="CW14" i="16"/>
  <c r="CW13" i="16"/>
  <c r="CR12" i="16"/>
  <c r="CR20" i="16"/>
  <c r="CR24" i="16"/>
  <c r="CX18" i="16"/>
  <c r="CW21" i="16"/>
  <c r="DH37" i="16"/>
  <c r="DH35" i="16"/>
  <c r="DH36" i="16"/>
  <c r="DH34" i="16"/>
  <c r="H14" i="21"/>
  <c r="I14" i="21" s="1"/>
  <c r="T17" i="21" s="1"/>
  <c r="BR13" i="16" s="1"/>
  <c r="BG20" i="29" s="1"/>
  <c r="H20" i="21"/>
  <c r="I20" i="21" s="1"/>
  <c r="T23" i="21" s="1"/>
  <c r="BR19" i="16" s="1"/>
  <c r="BG26" i="29" s="1"/>
  <c r="H16" i="21"/>
  <c r="I16" i="21" s="1"/>
  <c r="T19" i="21" s="1"/>
  <c r="BR15" i="16" s="1"/>
  <c r="BG22" i="29" s="1"/>
  <c r="H18" i="21"/>
  <c r="I18" i="21" s="1"/>
  <c r="T21" i="21" s="1"/>
  <c r="BR17" i="16" s="1"/>
  <c r="BG24" i="29" s="1"/>
  <c r="Q25" i="21"/>
  <c r="H22" i="21"/>
  <c r="I10" i="21"/>
  <c r="T13" i="21" s="1"/>
  <c r="BR9" i="16" s="1"/>
  <c r="BG16" i="29" s="1"/>
  <c r="I12" i="21"/>
  <c r="T15" i="21" s="1"/>
  <c r="BR11" i="16" s="1"/>
  <c r="BG18" i="29" s="1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B31" i="18"/>
  <c r="R25" i="18" s="1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9" i="10"/>
  <c r="E71" i="10"/>
  <c r="E70" i="10"/>
  <c r="G10" i="10" s="1"/>
  <c r="D70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24" i="19"/>
  <c r="N23" i="19"/>
  <c r="N22" i="19"/>
  <c r="N21" i="19"/>
  <c r="N20" i="19"/>
  <c r="N19" i="19"/>
  <c r="N18" i="19"/>
  <c r="N17" i="19"/>
  <c r="N16" i="19"/>
  <c r="N15" i="19"/>
  <c r="N14" i="19"/>
  <c r="N13" i="19"/>
  <c r="N12" i="19"/>
  <c r="N11" i="19"/>
  <c r="N10" i="19"/>
  <c r="N9" i="19"/>
  <c r="N24" i="2"/>
  <c r="N23" i="2"/>
  <c r="N22" i="2"/>
  <c r="N21" i="2"/>
  <c r="N20" i="2"/>
  <c r="N19" i="2"/>
  <c r="N18" i="2"/>
  <c r="N17" i="2"/>
  <c r="N16" i="2"/>
  <c r="N15" i="2"/>
  <c r="N14" i="2"/>
  <c r="N13" i="2"/>
  <c r="N12" i="2"/>
  <c r="N11" i="2"/>
  <c r="N10" i="2"/>
  <c r="N9" i="2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B35" i="20"/>
  <c r="B34" i="20"/>
  <c r="B33" i="20"/>
  <c r="A32" i="20"/>
  <c r="R9" i="20" s="1"/>
  <c r="F32" i="20"/>
  <c r="F31" i="20"/>
  <c r="F30" i="20"/>
  <c r="D32" i="20"/>
  <c r="D31" i="20"/>
  <c r="D30" i="20"/>
  <c r="S26" i="20"/>
  <c r="P26" i="20"/>
  <c r="N26" i="20"/>
  <c r="S25" i="20"/>
  <c r="P25" i="20"/>
  <c r="N25" i="20"/>
  <c r="L24" i="20"/>
  <c r="D24" i="20"/>
  <c r="Q26" i="20" s="1"/>
  <c r="L23" i="20"/>
  <c r="G23" i="20"/>
  <c r="DM17" i="16" s="1"/>
  <c r="L22" i="20"/>
  <c r="D22" i="20"/>
  <c r="G22" i="20" s="1"/>
  <c r="L21" i="20"/>
  <c r="D21" i="20"/>
  <c r="G21" i="20" s="1"/>
  <c r="L20" i="20"/>
  <c r="D20" i="20"/>
  <c r="G20" i="20" s="1"/>
  <c r="L19" i="20"/>
  <c r="D19" i="20"/>
  <c r="G19" i="20" s="1"/>
  <c r="L18" i="20"/>
  <c r="D18" i="20"/>
  <c r="G18" i="20" s="1"/>
  <c r="L17" i="20"/>
  <c r="D17" i="20"/>
  <c r="G17" i="20" s="1"/>
  <c r="L16" i="20"/>
  <c r="D16" i="20"/>
  <c r="G16" i="20" s="1"/>
  <c r="L15" i="20"/>
  <c r="D15" i="20"/>
  <c r="G15" i="20" s="1"/>
  <c r="L14" i="20"/>
  <c r="D14" i="20"/>
  <c r="G14" i="20" s="1"/>
  <c r="L13" i="20"/>
  <c r="D13" i="20"/>
  <c r="G13" i="20" s="1"/>
  <c r="L12" i="20"/>
  <c r="D12" i="20"/>
  <c r="G12" i="20" s="1"/>
  <c r="L11" i="20"/>
  <c r="D11" i="20"/>
  <c r="G11" i="20" s="1"/>
  <c r="L10" i="20"/>
  <c r="D10" i="20"/>
  <c r="G10" i="20" s="1"/>
  <c r="T9" i="20"/>
  <c r="O9" i="20"/>
  <c r="M9" i="20"/>
  <c r="EH8" i="16" s="1"/>
  <c r="L9" i="20"/>
  <c r="D9" i="20"/>
  <c r="G9" i="20" s="1"/>
  <c r="D8" i="20"/>
  <c r="G8" i="20" s="1"/>
  <c r="D7" i="20"/>
  <c r="G7" i="20" s="1"/>
  <c r="S26" i="19"/>
  <c r="S25" i="19"/>
  <c r="B35" i="19"/>
  <c r="B34" i="19"/>
  <c r="B33" i="19"/>
  <c r="A32" i="19"/>
  <c r="R9" i="19" s="1"/>
  <c r="F32" i="19"/>
  <c r="F31" i="19"/>
  <c r="F30" i="19"/>
  <c r="D32" i="19"/>
  <c r="D31" i="19"/>
  <c r="D30" i="19"/>
  <c r="P26" i="19"/>
  <c r="N26" i="19"/>
  <c r="P25" i="19"/>
  <c r="N25" i="19"/>
  <c r="L24" i="19"/>
  <c r="D24" i="19"/>
  <c r="Q26" i="19" s="1"/>
  <c r="L23" i="19"/>
  <c r="D23" i="19"/>
  <c r="G23" i="19" s="1"/>
  <c r="DM14" i="16" s="1"/>
  <c r="L22" i="19"/>
  <c r="D22" i="19"/>
  <c r="G22" i="19" s="1"/>
  <c r="L21" i="19"/>
  <c r="D21" i="19"/>
  <c r="G21" i="19" s="1"/>
  <c r="L20" i="19"/>
  <c r="D20" i="19"/>
  <c r="G20" i="19" s="1"/>
  <c r="L19" i="19"/>
  <c r="D19" i="19"/>
  <c r="G19" i="19" s="1"/>
  <c r="L18" i="19"/>
  <c r="D18" i="19"/>
  <c r="G18" i="19" s="1"/>
  <c r="L17" i="19"/>
  <c r="D17" i="19"/>
  <c r="G17" i="19" s="1"/>
  <c r="L16" i="19"/>
  <c r="D16" i="19"/>
  <c r="G16" i="19" s="1"/>
  <c r="L15" i="19"/>
  <c r="D15" i="19"/>
  <c r="G15" i="19" s="1"/>
  <c r="L14" i="19"/>
  <c r="D14" i="19"/>
  <c r="G14" i="19" s="1"/>
  <c r="L13" i="19"/>
  <c r="D13" i="19"/>
  <c r="G13" i="19" s="1"/>
  <c r="L12" i="19"/>
  <c r="D12" i="19"/>
  <c r="G12" i="19" s="1"/>
  <c r="L11" i="19"/>
  <c r="D11" i="19"/>
  <c r="G11" i="19" s="1"/>
  <c r="L10" i="19"/>
  <c r="D10" i="19"/>
  <c r="G10" i="19" s="1"/>
  <c r="T9" i="19"/>
  <c r="O9" i="19"/>
  <c r="M9" i="19"/>
  <c r="EH7" i="16" s="1"/>
  <c r="L9" i="19"/>
  <c r="D9" i="19"/>
  <c r="G9" i="19" s="1"/>
  <c r="D8" i="19"/>
  <c r="G8" i="19" s="1"/>
  <c r="D7" i="19"/>
  <c r="G7" i="19" s="1"/>
  <c r="P16" i="28" l="1"/>
  <c r="AE18" i="27"/>
  <c r="CR25" i="16"/>
  <c r="CR19" i="16"/>
  <c r="CR17" i="16"/>
  <c r="CR15" i="16"/>
  <c r="CR23" i="16"/>
  <c r="CR21" i="16"/>
  <c r="H12" i="20"/>
  <c r="U14" i="20" s="1"/>
  <c r="BQ10" i="16" s="1"/>
  <c r="BF17" i="29" s="1"/>
  <c r="H10" i="20"/>
  <c r="U12" i="20" s="1"/>
  <c r="BQ8" i="16" s="1"/>
  <c r="BF15" i="29" s="1"/>
  <c r="H14" i="20"/>
  <c r="U16" i="20" s="1"/>
  <c r="BQ12" i="16" s="1"/>
  <c r="BF19" i="29" s="1"/>
  <c r="I22" i="21"/>
  <c r="DN37" i="16" s="1"/>
  <c r="DM37" i="16"/>
  <c r="DH15" i="16"/>
  <c r="DH16" i="16"/>
  <c r="DH14" i="16"/>
  <c r="DH19" i="16"/>
  <c r="DH17" i="16"/>
  <c r="DH18" i="16"/>
  <c r="G37" i="10"/>
  <c r="G45" i="10"/>
  <c r="H8" i="20"/>
  <c r="U10" i="20" s="1"/>
  <c r="BQ6" i="16" s="1"/>
  <c r="BF13" i="29" s="1"/>
  <c r="H19" i="20"/>
  <c r="U21" i="20" s="1"/>
  <c r="BQ17" i="16" s="1"/>
  <c r="BF24" i="29" s="1"/>
  <c r="H11" i="20"/>
  <c r="U13" i="20" s="1"/>
  <c r="BQ9" i="16" s="1"/>
  <c r="BF16" i="29" s="1"/>
  <c r="H17" i="20"/>
  <c r="U19" i="20" s="1"/>
  <c r="BQ15" i="16" s="1"/>
  <c r="BF22" i="29" s="1"/>
  <c r="G14" i="10"/>
  <c r="G22" i="10"/>
  <c r="H20" i="20"/>
  <c r="U22" i="20" s="1"/>
  <c r="BQ18" i="16" s="1"/>
  <c r="BF25" i="29" s="1"/>
  <c r="H22" i="20"/>
  <c r="U24" i="20" s="1"/>
  <c r="BQ20" i="16" s="1"/>
  <c r="BF27" i="29" s="1"/>
  <c r="G38" i="10"/>
  <c r="G46" i="10"/>
  <c r="G21" i="10"/>
  <c r="G13" i="10"/>
  <c r="G41" i="10"/>
  <c r="G49" i="10"/>
  <c r="G18" i="10"/>
  <c r="G7" i="10"/>
  <c r="G42" i="10"/>
  <c r="G50" i="10"/>
  <c r="G17" i="10"/>
  <c r="G8" i="10"/>
  <c r="T25" i="21"/>
  <c r="G24" i="19"/>
  <c r="DM15" i="16" s="1"/>
  <c r="G39" i="10"/>
  <c r="G43" i="10"/>
  <c r="G47" i="10"/>
  <c r="G51" i="10"/>
  <c r="G20" i="10"/>
  <c r="G16" i="10"/>
  <c r="G12" i="10"/>
  <c r="G9" i="10"/>
  <c r="G40" i="10"/>
  <c r="G44" i="10"/>
  <c r="G48" i="10"/>
  <c r="G52" i="10"/>
  <c r="G19" i="10"/>
  <c r="G15" i="10"/>
  <c r="G11" i="10"/>
  <c r="H15" i="20"/>
  <c r="U17" i="20" s="1"/>
  <c r="BQ13" i="16" s="1"/>
  <c r="BF20" i="29" s="1"/>
  <c r="H18" i="20"/>
  <c r="U20" i="20" s="1"/>
  <c r="BQ16" i="16" s="1"/>
  <c r="BF23" i="29" s="1"/>
  <c r="H7" i="20"/>
  <c r="U9" i="20" s="1"/>
  <c r="BQ5" i="16" s="1"/>
  <c r="BF12" i="29" s="1"/>
  <c r="H9" i="20"/>
  <c r="U11" i="20" s="1"/>
  <c r="BQ7" i="16" s="1"/>
  <c r="BF14" i="29" s="1"/>
  <c r="H13" i="20"/>
  <c r="U15" i="20" s="1"/>
  <c r="BQ11" i="16" s="1"/>
  <c r="BF18" i="29" s="1"/>
  <c r="H16" i="20"/>
  <c r="U18" i="20" s="1"/>
  <c r="BQ14" i="16" s="1"/>
  <c r="BF21" i="29" s="1"/>
  <c r="H21" i="20"/>
  <c r="U23" i="20" s="1"/>
  <c r="BQ19" i="16" s="1"/>
  <c r="BF26" i="29" s="1"/>
  <c r="U25" i="20"/>
  <c r="H23" i="20"/>
  <c r="Q25" i="20"/>
  <c r="G24" i="20"/>
  <c r="DM18" i="16" s="1"/>
  <c r="H11" i="19"/>
  <c r="U13" i="19" s="1"/>
  <c r="BP9" i="16" s="1"/>
  <c r="BE16" i="29" s="1"/>
  <c r="H16" i="19"/>
  <c r="U18" i="19" s="1"/>
  <c r="BP14" i="16" s="1"/>
  <c r="BE21" i="29" s="1"/>
  <c r="H19" i="19"/>
  <c r="U21" i="19" s="1"/>
  <c r="BP17" i="16" s="1"/>
  <c r="BE24" i="29" s="1"/>
  <c r="H9" i="19"/>
  <c r="U11" i="19" s="1"/>
  <c r="BP7" i="16" s="1"/>
  <c r="BE14" i="29" s="1"/>
  <c r="H14" i="19"/>
  <c r="U16" i="19" s="1"/>
  <c r="BP12" i="16" s="1"/>
  <c r="BE19" i="29" s="1"/>
  <c r="H17" i="19"/>
  <c r="U19" i="19" s="1"/>
  <c r="BP15" i="16" s="1"/>
  <c r="BE22" i="29" s="1"/>
  <c r="H22" i="19"/>
  <c r="U24" i="19" s="1"/>
  <c r="BP20" i="16" s="1"/>
  <c r="BE27" i="29" s="1"/>
  <c r="H8" i="19"/>
  <c r="U10" i="19" s="1"/>
  <c r="BP6" i="16" s="1"/>
  <c r="BE13" i="29" s="1"/>
  <c r="H10" i="19"/>
  <c r="U12" i="19" s="1"/>
  <c r="BP8" i="16" s="1"/>
  <c r="BE15" i="29" s="1"/>
  <c r="H12" i="19"/>
  <c r="U14" i="19" s="1"/>
  <c r="BP10" i="16" s="1"/>
  <c r="BE17" i="29" s="1"/>
  <c r="H15" i="19"/>
  <c r="U17" i="19" s="1"/>
  <c r="BP13" i="16" s="1"/>
  <c r="BE20" i="29" s="1"/>
  <c r="H20" i="19"/>
  <c r="U22" i="19" s="1"/>
  <c r="BP18" i="16" s="1"/>
  <c r="BE25" i="29" s="1"/>
  <c r="H7" i="19"/>
  <c r="U9" i="19" s="1"/>
  <c r="BP5" i="16" s="1"/>
  <c r="BE12" i="29" s="1"/>
  <c r="H13" i="19"/>
  <c r="U15" i="19" s="1"/>
  <c r="BP11" i="16" s="1"/>
  <c r="BE18" i="29" s="1"/>
  <c r="H18" i="19"/>
  <c r="U20" i="19" s="1"/>
  <c r="BP16" i="16" s="1"/>
  <c r="BE23" i="29" s="1"/>
  <c r="H21" i="19"/>
  <c r="U23" i="19" s="1"/>
  <c r="BP19" i="16" s="1"/>
  <c r="BE26" i="29" s="1"/>
  <c r="U25" i="19"/>
  <c r="H23" i="19"/>
  <c r="Q25" i="19"/>
  <c r="N17" i="28" l="1"/>
  <c r="AD19" i="27"/>
  <c r="CP19" i="16"/>
  <c r="CQ25" i="16"/>
  <c r="CQ26" i="16"/>
  <c r="CQ20" i="16"/>
  <c r="CQ24" i="16"/>
  <c r="CP12" i="16"/>
  <c r="CP18" i="16"/>
  <c r="CQ13" i="16"/>
  <c r="CP16" i="16"/>
  <c r="CP14" i="16"/>
  <c r="CP21" i="16"/>
  <c r="CP13" i="16"/>
  <c r="CQ11" i="16"/>
  <c r="CQ21" i="16"/>
  <c r="CP23" i="16"/>
  <c r="CQ22" i="16"/>
  <c r="CQ15" i="16"/>
  <c r="CQ17" i="16"/>
  <c r="CP22" i="16"/>
  <c r="CP20" i="16"/>
  <c r="CQ19" i="16"/>
  <c r="CQ23" i="16"/>
  <c r="CQ18" i="16"/>
  <c r="CP26" i="16"/>
  <c r="CP25" i="16"/>
  <c r="CP17" i="16"/>
  <c r="CP15" i="16"/>
  <c r="CQ12" i="16"/>
  <c r="CQ14" i="16"/>
  <c r="CP11" i="16"/>
  <c r="CP24" i="16"/>
  <c r="CQ16" i="16"/>
  <c r="U26" i="19"/>
  <c r="H24" i="19"/>
  <c r="DN15" i="16" s="1"/>
  <c r="U25" i="21"/>
  <c r="V25" i="20"/>
  <c r="DN17" i="16"/>
  <c r="V25" i="19"/>
  <c r="DN14" i="16"/>
  <c r="H24" i="20"/>
  <c r="U26" i="20"/>
  <c r="P17" i="28" l="1"/>
  <c r="AE19" i="27"/>
  <c r="V26" i="19"/>
  <c r="V26" i="20"/>
  <c r="DN18" i="16"/>
  <c r="B35" i="2"/>
  <c r="S26" i="2" s="1"/>
  <c r="N18" i="28" l="1"/>
  <c r="AD20" i="27"/>
  <c r="S25" i="2"/>
  <c r="B35" i="3"/>
  <c r="A32" i="3"/>
  <c r="B33" i="3"/>
  <c r="B34" i="3"/>
  <c r="P18" i="28" l="1"/>
  <c r="AE20" i="27"/>
  <c r="S25" i="3"/>
  <c r="S26" i="3"/>
  <c r="B35" i="5"/>
  <c r="N19" i="28" l="1"/>
  <c r="AD21" i="27"/>
  <c r="S26" i="5"/>
  <c r="S25" i="5"/>
  <c r="W20" i="16"/>
  <c r="A21" i="25" s="1"/>
  <c r="R24" i="25" s="1"/>
  <c r="W19" i="16"/>
  <c r="A20" i="25" s="1"/>
  <c r="R23" i="25" s="1"/>
  <c r="W18" i="16"/>
  <c r="A19" i="25" s="1"/>
  <c r="R22" i="25" s="1"/>
  <c r="W17" i="16"/>
  <c r="A18" i="25" s="1"/>
  <c r="R21" i="25" s="1"/>
  <c r="W16" i="16"/>
  <c r="A17" i="25" s="1"/>
  <c r="R20" i="25" s="1"/>
  <c r="W15" i="16"/>
  <c r="A16" i="25" s="1"/>
  <c r="R19" i="25" s="1"/>
  <c r="W14" i="16"/>
  <c r="A15" i="25" s="1"/>
  <c r="R18" i="25" s="1"/>
  <c r="W13" i="16"/>
  <c r="A14" i="25" s="1"/>
  <c r="R17" i="25" s="1"/>
  <c r="W12" i="16"/>
  <c r="A13" i="25" s="1"/>
  <c r="R16" i="25" s="1"/>
  <c r="W11" i="16"/>
  <c r="A12" i="25" s="1"/>
  <c r="R15" i="25" s="1"/>
  <c r="W10" i="16"/>
  <c r="A11" i="25" s="1"/>
  <c r="R14" i="25" s="1"/>
  <c r="W9" i="16"/>
  <c r="A10" i="25" s="1"/>
  <c r="R13" i="25" s="1"/>
  <c r="W8" i="16"/>
  <c r="A9" i="25" s="1"/>
  <c r="R12" i="25" s="1"/>
  <c r="W7" i="16"/>
  <c r="A8" i="25" s="1"/>
  <c r="R11" i="25" s="1"/>
  <c r="W6" i="16"/>
  <c r="A7" i="25" s="1"/>
  <c r="R10" i="25" s="1"/>
  <c r="A6" i="25"/>
  <c r="R9" i="25" s="1"/>
  <c r="P19" i="28" l="1"/>
  <c r="AE21" i="27"/>
  <c r="Q9" i="25"/>
  <c r="CA5" i="16"/>
  <c r="BP12" i="29" s="1"/>
  <c r="P9" i="25"/>
  <c r="O9" i="25"/>
  <c r="Q11" i="25"/>
  <c r="CA7" i="16"/>
  <c r="BP14" i="29" s="1"/>
  <c r="P11" i="25"/>
  <c r="O11" i="25"/>
  <c r="Q13" i="25"/>
  <c r="CA9" i="16"/>
  <c r="BP16" i="29" s="1"/>
  <c r="P13" i="25"/>
  <c r="O13" i="25"/>
  <c r="Q15" i="25"/>
  <c r="CA11" i="16"/>
  <c r="BP18" i="29" s="1"/>
  <c r="P15" i="25"/>
  <c r="O15" i="25"/>
  <c r="Q17" i="25"/>
  <c r="CA13" i="16"/>
  <c r="BP20" i="29" s="1"/>
  <c r="P17" i="25"/>
  <c r="O17" i="25"/>
  <c r="Q19" i="25"/>
  <c r="CA15" i="16"/>
  <c r="BP22" i="29" s="1"/>
  <c r="P19" i="25"/>
  <c r="O19" i="25"/>
  <c r="Q21" i="25"/>
  <c r="CA17" i="16"/>
  <c r="BP24" i="29" s="1"/>
  <c r="P21" i="25"/>
  <c r="O21" i="25"/>
  <c r="Q23" i="25"/>
  <c r="CA19" i="16"/>
  <c r="BP26" i="29" s="1"/>
  <c r="P23" i="25"/>
  <c r="O23" i="25"/>
  <c r="P10" i="25"/>
  <c r="CA6" i="16"/>
  <c r="BP13" i="29" s="1"/>
  <c r="O10" i="25"/>
  <c r="Q10" i="25"/>
  <c r="P12" i="25"/>
  <c r="CA8" i="16"/>
  <c r="BP15" i="29" s="1"/>
  <c r="O12" i="25"/>
  <c r="Q12" i="25"/>
  <c r="P14" i="25"/>
  <c r="CA10" i="16"/>
  <c r="BP17" i="29" s="1"/>
  <c r="O14" i="25"/>
  <c r="Q14" i="25"/>
  <c r="P16" i="25"/>
  <c r="CA12" i="16"/>
  <c r="BP19" i="29" s="1"/>
  <c r="O16" i="25"/>
  <c r="Q16" i="25"/>
  <c r="P18" i="25"/>
  <c r="CA14" i="16"/>
  <c r="BP21" i="29" s="1"/>
  <c r="O18" i="25"/>
  <c r="Q18" i="25"/>
  <c r="P20" i="25"/>
  <c r="CA16" i="16"/>
  <c r="BP23" i="29" s="1"/>
  <c r="O20" i="25"/>
  <c r="Q20" i="25"/>
  <c r="P22" i="25"/>
  <c r="CA18" i="16"/>
  <c r="BP25" i="29" s="1"/>
  <c r="O22" i="25"/>
  <c r="Q22" i="25"/>
  <c r="P24" i="25"/>
  <c r="CA20" i="16"/>
  <c r="BP27" i="29" s="1"/>
  <c r="O24" i="25"/>
  <c r="Q24" i="25"/>
  <c r="A8" i="21"/>
  <c r="R11" i="21" s="1"/>
  <c r="A8" i="23"/>
  <c r="A8" i="22"/>
  <c r="A16" i="21"/>
  <c r="R19" i="21" s="1"/>
  <c r="A16" i="22"/>
  <c r="A16" i="23"/>
  <c r="A9" i="21"/>
  <c r="R12" i="21" s="1"/>
  <c r="A9" i="23"/>
  <c r="A9" i="22"/>
  <c r="A21" i="21"/>
  <c r="R24" i="21" s="1"/>
  <c r="A21" i="23"/>
  <c r="A21" i="22"/>
  <c r="A6" i="21"/>
  <c r="R9" i="21" s="1"/>
  <c r="A6" i="22"/>
  <c r="A6" i="23"/>
  <c r="A10" i="21"/>
  <c r="R13" i="21" s="1"/>
  <c r="A10" i="22"/>
  <c r="A10" i="23"/>
  <c r="A14" i="21"/>
  <c r="R17" i="21" s="1"/>
  <c r="A14" i="22"/>
  <c r="A14" i="23"/>
  <c r="A18" i="21"/>
  <c r="R21" i="21" s="1"/>
  <c r="A18" i="23"/>
  <c r="A18" i="22"/>
  <c r="A12" i="21"/>
  <c r="R15" i="21" s="1"/>
  <c r="A12" i="23"/>
  <c r="A12" i="22"/>
  <c r="A20" i="21"/>
  <c r="R23" i="21" s="1"/>
  <c r="A20" i="22"/>
  <c r="A20" i="23"/>
  <c r="A13" i="21"/>
  <c r="R16" i="21" s="1"/>
  <c r="A13" i="23"/>
  <c r="A13" i="22"/>
  <c r="A17" i="21"/>
  <c r="R20" i="21" s="1"/>
  <c r="A17" i="23"/>
  <c r="A17" i="22"/>
  <c r="A7" i="21"/>
  <c r="R10" i="21" s="1"/>
  <c r="A7" i="22"/>
  <c r="A7" i="23"/>
  <c r="A11" i="21"/>
  <c r="R14" i="21" s="1"/>
  <c r="A11" i="22"/>
  <c r="A11" i="23"/>
  <c r="A15" i="21"/>
  <c r="R18" i="21" s="1"/>
  <c r="A15" i="22"/>
  <c r="A15" i="23"/>
  <c r="A19" i="21"/>
  <c r="R22" i="21" s="1"/>
  <c r="A19" i="23"/>
  <c r="A19" i="22"/>
  <c r="A9" i="19"/>
  <c r="A9" i="20"/>
  <c r="A13" i="19"/>
  <c r="A13" i="20"/>
  <c r="A17" i="19"/>
  <c r="A17" i="20"/>
  <c r="A21" i="19"/>
  <c r="A21" i="20"/>
  <c r="A10" i="19"/>
  <c r="A10" i="20"/>
  <c r="A14" i="19"/>
  <c r="A14" i="20"/>
  <c r="A18" i="19"/>
  <c r="A18" i="20"/>
  <c r="A22" i="20"/>
  <c r="A22" i="19"/>
  <c r="A7" i="19"/>
  <c r="A7" i="20"/>
  <c r="A11" i="20"/>
  <c r="A11" i="19"/>
  <c r="A15" i="19"/>
  <c r="A15" i="20"/>
  <c r="A19" i="20"/>
  <c r="A19" i="19"/>
  <c r="A8" i="20"/>
  <c r="A8" i="19"/>
  <c r="A12" i="20"/>
  <c r="A12" i="19"/>
  <c r="A16" i="20"/>
  <c r="A16" i="19"/>
  <c r="A20" i="20"/>
  <c r="A20" i="19"/>
  <c r="F30" i="18"/>
  <c r="F29" i="18"/>
  <c r="F28" i="18"/>
  <c r="D30" i="18"/>
  <c r="D29" i="18"/>
  <c r="D28" i="18"/>
  <c r="B30" i="18"/>
  <c r="B29" i="18"/>
  <c r="E65" i="10"/>
  <c r="D65" i="10"/>
  <c r="E64" i="10"/>
  <c r="D64" i="10"/>
  <c r="E63" i="10"/>
  <c r="D63" i="10"/>
  <c r="B65" i="10"/>
  <c r="A65" i="10"/>
  <c r="B64" i="10"/>
  <c r="A64" i="10"/>
  <c r="B63" i="10"/>
  <c r="A63" i="10"/>
  <c r="C70" i="10"/>
  <c r="B70" i="10"/>
  <c r="D71" i="10"/>
  <c r="C71" i="10"/>
  <c r="B71" i="10"/>
  <c r="B34" i="2"/>
  <c r="B33" i="2"/>
  <c r="A32" i="2"/>
  <c r="F32" i="2"/>
  <c r="F31" i="2"/>
  <c r="F30" i="2"/>
  <c r="D32" i="2"/>
  <c r="D31" i="2"/>
  <c r="D30" i="2"/>
  <c r="F32" i="3"/>
  <c r="F31" i="3"/>
  <c r="F30" i="3"/>
  <c r="D32" i="3"/>
  <c r="D30" i="3"/>
  <c r="D31" i="3"/>
  <c r="F32" i="5"/>
  <c r="F31" i="5"/>
  <c r="F30" i="5"/>
  <c r="D32" i="5"/>
  <c r="D31" i="5"/>
  <c r="D30" i="5"/>
  <c r="B34" i="5"/>
  <c r="B33" i="5"/>
  <c r="A32" i="5"/>
  <c r="N20" i="28" l="1"/>
  <c r="AD22" i="27"/>
  <c r="DB15" i="16"/>
  <c r="DB22" i="16"/>
  <c r="DB16" i="16"/>
  <c r="DB25" i="16"/>
  <c r="DB19" i="16"/>
  <c r="DB13" i="16"/>
  <c r="DB18" i="16"/>
  <c r="DB12" i="16"/>
  <c r="DB24" i="16"/>
  <c r="DB21" i="16"/>
  <c r="DB26" i="16"/>
  <c r="DB20" i="16"/>
  <c r="DB14" i="16"/>
  <c r="DB23" i="16"/>
  <c r="DB17" i="16"/>
  <c r="DB11" i="16"/>
  <c r="Q9" i="21"/>
  <c r="P10" i="21"/>
  <c r="R24" i="22"/>
  <c r="P24" i="22"/>
  <c r="Q24" i="22"/>
  <c r="P24" i="23"/>
  <c r="R24" i="23"/>
  <c r="Q24" i="23"/>
  <c r="BT20" i="16" s="1"/>
  <c r="BI27" i="29" s="1"/>
  <c r="S24" i="23"/>
  <c r="BU20" i="16" s="1"/>
  <c r="BJ27" i="29" s="1"/>
  <c r="T24" i="23"/>
  <c r="BV20" i="16" s="1"/>
  <c r="BK27" i="29" s="1"/>
  <c r="P23" i="23"/>
  <c r="R23" i="23"/>
  <c r="T23" i="23"/>
  <c r="BV19" i="16" s="1"/>
  <c r="BK26" i="29" s="1"/>
  <c r="Q23" i="23"/>
  <c r="BT19" i="16" s="1"/>
  <c r="BI26" i="29" s="1"/>
  <c r="S23" i="23"/>
  <c r="BU19" i="16" s="1"/>
  <c r="BJ26" i="29" s="1"/>
  <c r="R23" i="22"/>
  <c r="P23" i="22"/>
  <c r="Q23" i="22"/>
  <c r="R22" i="22"/>
  <c r="Q22" i="22"/>
  <c r="P22" i="22"/>
  <c r="R18" i="22"/>
  <c r="Q18" i="22"/>
  <c r="P18" i="22"/>
  <c r="R10" i="22"/>
  <c r="Q10" i="22"/>
  <c r="P10" i="22"/>
  <c r="R20" i="22"/>
  <c r="Q20" i="22"/>
  <c r="P20" i="22"/>
  <c r="R21" i="22"/>
  <c r="Q21" i="22"/>
  <c r="P21" i="22"/>
  <c r="R17" i="22"/>
  <c r="Q17" i="22"/>
  <c r="P17" i="22"/>
  <c r="R9" i="22"/>
  <c r="Q9" i="22"/>
  <c r="P9" i="22"/>
  <c r="R14" i="22"/>
  <c r="Q14" i="22"/>
  <c r="P14" i="22"/>
  <c r="R16" i="22"/>
  <c r="Q16" i="22"/>
  <c r="P16" i="22"/>
  <c r="R15" i="22"/>
  <c r="Q15" i="22"/>
  <c r="P15" i="22"/>
  <c r="R13" i="22"/>
  <c r="Q13" i="22"/>
  <c r="P13" i="22"/>
  <c r="R12" i="22"/>
  <c r="Q12" i="22"/>
  <c r="P12" i="22"/>
  <c r="R19" i="22"/>
  <c r="Q19" i="22"/>
  <c r="P19" i="22"/>
  <c r="R11" i="22"/>
  <c r="Q11" i="22"/>
  <c r="P11" i="22"/>
  <c r="P15" i="21"/>
  <c r="P14" i="23"/>
  <c r="R14" i="23"/>
  <c r="P16" i="23"/>
  <c r="R16" i="23"/>
  <c r="R15" i="23"/>
  <c r="P15" i="23"/>
  <c r="P13" i="23"/>
  <c r="R13" i="23"/>
  <c r="P12" i="23"/>
  <c r="R12" i="23"/>
  <c r="R19" i="23"/>
  <c r="P19" i="23"/>
  <c r="R11" i="23"/>
  <c r="P11" i="23"/>
  <c r="P22" i="23"/>
  <c r="R22" i="23"/>
  <c r="P18" i="23"/>
  <c r="R18" i="23"/>
  <c r="P10" i="23"/>
  <c r="R10" i="23"/>
  <c r="P20" i="23"/>
  <c r="R20" i="23"/>
  <c r="R21" i="23"/>
  <c r="P21" i="23"/>
  <c r="R17" i="23"/>
  <c r="P17" i="23"/>
  <c r="Q22" i="23"/>
  <c r="BT18" i="16" s="1"/>
  <c r="BI25" i="29" s="1"/>
  <c r="T22" i="23"/>
  <c r="BV18" i="16" s="1"/>
  <c r="BK25" i="29" s="1"/>
  <c r="S22" i="23"/>
  <c r="BU18" i="16" s="1"/>
  <c r="BJ25" i="29" s="1"/>
  <c r="T21" i="23"/>
  <c r="BV17" i="16" s="1"/>
  <c r="BK24" i="29" s="1"/>
  <c r="S21" i="23"/>
  <c r="BU17" i="16" s="1"/>
  <c r="BJ24" i="29" s="1"/>
  <c r="Q21" i="23"/>
  <c r="BT17" i="16" s="1"/>
  <c r="BI24" i="29" s="1"/>
  <c r="Q20" i="23"/>
  <c r="BT16" i="16" s="1"/>
  <c r="BI23" i="29" s="1"/>
  <c r="T20" i="23"/>
  <c r="BV16" i="16" s="1"/>
  <c r="BK23" i="29" s="1"/>
  <c r="S20" i="23"/>
  <c r="BU16" i="16" s="1"/>
  <c r="BJ23" i="29" s="1"/>
  <c r="Q14" i="23"/>
  <c r="BT10" i="16" s="1"/>
  <c r="BI17" i="29" s="1"/>
  <c r="T14" i="23"/>
  <c r="BV10" i="16" s="1"/>
  <c r="BK17" i="29" s="1"/>
  <c r="S14" i="23"/>
  <c r="BU10" i="16" s="1"/>
  <c r="BJ17" i="29" s="1"/>
  <c r="Q16" i="23"/>
  <c r="BT12" i="16" s="1"/>
  <c r="BI19" i="29" s="1"/>
  <c r="T16" i="23"/>
  <c r="BV12" i="16" s="1"/>
  <c r="BK19" i="29" s="1"/>
  <c r="S16" i="23"/>
  <c r="BU12" i="16" s="1"/>
  <c r="BJ19" i="29" s="1"/>
  <c r="T15" i="23"/>
  <c r="BV11" i="16" s="1"/>
  <c r="BK18" i="29" s="1"/>
  <c r="Q15" i="23"/>
  <c r="BT11" i="16" s="1"/>
  <c r="BI18" i="29" s="1"/>
  <c r="S15" i="23"/>
  <c r="BU11" i="16" s="1"/>
  <c r="BJ18" i="29" s="1"/>
  <c r="T13" i="23"/>
  <c r="BV9" i="16" s="1"/>
  <c r="BK16" i="29" s="1"/>
  <c r="Q13" i="23"/>
  <c r="BT9" i="16" s="1"/>
  <c r="BI16" i="29" s="1"/>
  <c r="S13" i="23"/>
  <c r="BU9" i="16" s="1"/>
  <c r="BJ16" i="29" s="1"/>
  <c r="Q12" i="23"/>
  <c r="T12" i="23"/>
  <c r="S12" i="23"/>
  <c r="T19" i="23"/>
  <c r="BV15" i="16" s="1"/>
  <c r="BK22" i="29" s="1"/>
  <c r="Q19" i="23"/>
  <c r="BT15" i="16" s="1"/>
  <c r="BI22" i="29" s="1"/>
  <c r="S19" i="23"/>
  <c r="BU15" i="16" s="1"/>
  <c r="BJ22" i="29" s="1"/>
  <c r="Q18" i="23"/>
  <c r="BT14" i="16" s="1"/>
  <c r="BI21" i="29" s="1"/>
  <c r="T18" i="23"/>
  <c r="BV14" i="16" s="1"/>
  <c r="BK21" i="29" s="1"/>
  <c r="S18" i="23"/>
  <c r="BU14" i="16" s="1"/>
  <c r="BJ21" i="29" s="1"/>
  <c r="T17" i="23"/>
  <c r="BV13" i="16" s="1"/>
  <c r="BK20" i="29" s="1"/>
  <c r="Q17" i="23"/>
  <c r="BT13" i="16" s="1"/>
  <c r="BI20" i="29" s="1"/>
  <c r="S17" i="23"/>
  <c r="BU13" i="16" s="1"/>
  <c r="BJ20" i="29" s="1"/>
  <c r="T11" i="23"/>
  <c r="Q11" i="23"/>
  <c r="S11" i="23"/>
  <c r="Q10" i="23"/>
  <c r="T10" i="23"/>
  <c r="S10" i="23"/>
  <c r="P9" i="23"/>
  <c r="S9" i="23"/>
  <c r="BU5" i="16" s="1"/>
  <c r="BJ12" i="29" s="1"/>
  <c r="T9" i="23"/>
  <c r="BV5" i="16" s="1"/>
  <c r="BK12" i="29" s="1"/>
  <c r="Q9" i="23"/>
  <c r="BT5" i="16" s="1"/>
  <c r="BI12" i="29" s="1"/>
  <c r="R9" i="23"/>
  <c r="Q16" i="21"/>
  <c r="P11" i="21"/>
  <c r="P9" i="21"/>
  <c r="P16" i="21"/>
  <c r="Q15" i="21"/>
  <c r="Q11" i="21"/>
  <c r="Q10" i="21"/>
  <c r="P14" i="21"/>
  <c r="P24" i="21"/>
  <c r="P21" i="21"/>
  <c r="Q20" i="21"/>
  <c r="Q22" i="21"/>
  <c r="P22" i="21"/>
  <c r="Q21" i="21"/>
  <c r="Q24" i="21"/>
  <c r="P20" i="21"/>
  <c r="Q23" i="21"/>
  <c r="P18" i="21"/>
  <c r="Q17" i="21"/>
  <c r="Q12" i="21"/>
  <c r="P19" i="21"/>
  <c r="Q13" i="21"/>
  <c r="Q14" i="21"/>
  <c r="P23" i="21"/>
  <c r="Q18" i="21"/>
  <c r="P17" i="21"/>
  <c r="P12" i="21"/>
  <c r="Q19" i="21"/>
  <c r="P13" i="21"/>
  <c r="Q21" i="19"/>
  <c r="S21" i="19"/>
  <c r="P21" i="19"/>
  <c r="Q24" i="19"/>
  <c r="S24" i="19"/>
  <c r="P24" i="19"/>
  <c r="S23" i="20"/>
  <c r="P23" i="20"/>
  <c r="Q23" i="20"/>
  <c r="Q15" i="20"/>
  <c r="S15" i="20"/>
  <c r="P15" i="20"/>
  <c r="S22" i="20"/>
  <c r="P22" i="20"/>
  <c r="Q22" i="20"/>
  <c r="S14" i="20"/>
  <c r="P14" i="20"/>
  <c r="Q14" i="20"/>
  <c r="Q21" i="20"/>
  <c r="S21" i="20"/>
  <c r="P21" i="20"/>
  <c r="Q13" i="20"/>
  <c r="P13" i="20"/>
  <c r="S13" i="20"/>
  <c r="Q24" i="20"/>
  <c r="S24" i="20"/>
  <c r="P24" i="20"/>
  <c r="S16" i="19"/>
  <c r="Q16" i="19"/>
  <c r="P16" i="19"/>
  <c r="Q23" i="19"/>
  <c r="S23" i="19"/>
  <c r="P23" i="19"/>
  <c r="Q15" i="19"/>
  <c r="P15" i="19"/>
  <c r="S15" i="19"/>
  <c r="S14" i="19"/>
  <c r="Q14" i="19"/>
  <c r="P14" i="19"/>
  <c r="S16" i="20"/>
  <c r="Q16" i="20"/>
  <c r="P16" i="20"/>
  <c r="S18" i="19"/>
  <c r="Q18" i="19"/>
  <c r="P18" i="19"/>
  <c r="Q10" i="19"/>
  <c r="S10" i="19"/>
  <c r="P10" i="19"/>
  <c r="Q17" i="20"/>
  <c r="P17" i="20"/>
  <c r="S17" i="20"/>
  <c r="S9" i="20"/>
  <c r="P9" i="20"/>
  <c r="Q9" i="20"/>
  <c r="S20" i="20"/>
  <c r="P20" i="20"/>
  <c r="Q20" i="20"/>
  <c r="S12" i="20"/>
  <c r="Q12" i="20"/>
  <c r="P12" i="20"/>
  <c r="Q19" i="20"/>
  <c r="P19" i="20"/>
  <c r="S19" i="20"/>
  <c r="Q11" i="20"/>
  <c r="P11" i="20"/>
  <c r="S11" i="20"/>
  <c r="S22" i="19"/>
  <c r="P22" i="19"/>
  <c r="Q22" i="19"/>
  <c r="Q13" i="19"/>
  <c r="S13" i="19"/>
  <c r="P13" i="19"/>
  <c r="S18" i="20"/>
  <c r="Q18" i="20"/>
  <c r="P18" i="20"/>
  <c r="S10" i="20"/>
  <c r="Q10" i="20"/>
  <c r="P10" i="20"/>
  <c r="Q17" i="19"/>
  <c r="S17" i="19"/>
  <c r="P17" i="19"/>
  <c r="S9" i="19"/>
  <c r="Q9" i="19"/>
  <c r="P9" i="19"/>
  <c r="Q20" i="19"/>
  <c r="S20" i="19"/>
  <c r="P20" i="19"/>
  <c r="S12" i="19"/>
  <c r="P12" i="19"/>
  <c r="Q12" i="19"/>
  <c r="Q19" i="19"/>
  <c r="S19" i="19"/>
  <c r="P19" i="19"/>
  <c r="Q11" i="19"/>
  <c r="P11" i="19"/>
  <c r="S11" i="19"/>
  <c r="BT8" i="16" l="1"/>
  <c r="BI15" i="29" s="1"/>
  <c r="BV8" i="16"/>
  <c r="BK15" i="29" s="1"/>
  <c r="BU8" i="16"/>
  <c r="BJ15" i="29" s="1"/>
  <c r="BV7" i="16"/>
  <c r="BK14" i="29" s="1"/>
  <c r="BT7" i="16"/>
  <c r="BU7" i="16"/>
  <c r="BV6" i="16"/>
  <c r="BK13" i="29" s="1"/>
  <c r="BT6" i="16"/>
  <c r="BI13" i="29" s="1"/>
  <c r="BU6" i="16"/>
  <c r="P20" i="28"/>
  <c r="AE22" i="27"/>
  <c r="CV16" i="16"/>
  <c r="CT15" i="16"/>
  <c r="CV21" i="16"/>
  <c r="CT18" i="16"/>
  <c r="CT24" i="16"/>
  <c r="CV22" i="16"/>
  <c r="CU16" i="16"/>
  <c r="CU25" i="16"/>
  <c r="CT16" i="16"/>
  <c r="CT19" i="16"/>
  <c r="CT11" i="16"/>
  <c r="CV15" i="16"/>
  <c r="CT22" i="16"/>
  <c r="CV26" i="16"/>
  <c r="CU19" i="16"/>
  <c r="CV19" i="16"/>
  <c r="CV11" i="16"/>
  <c r="CU20" i="16"/>
  <c r="CU17" i="16"/>
  <c r="CT23" i="16"/>
  <c r="CU26" i="16"/>
  <c r="CV20" i="16"/>
  <c r="CT17" i="16"/>
  <c r="CU23" i="16"/>
  <c r="CT26" i="16"/>
  <c r="CU11" i="16"/>
  <c r="CT20" i="16"/>
  <c r="CV17" i="16"/>
  <c r="CV23" i="16"/>
  <c r="CT25" i="16"/>
  <c r="CV25" i="16"/>
  <c r="CU22" i="16"/>
  <c r="CU21" i="16"/>
  <c r="CU18" i="16"/>
  <c r="CU24" i="16"/>
  <c r="CU15" i="16"/>
  <c r="CT21" i="16"/>
  <c r="CV18" i="16"/>
  <c r="CV24" i="16"/>
  <c r="N25" i="18"/>
  <c r="D22" i="18"/>
  <c r="Q25" i="18" s="1"/>
  <c r="S12" i="18"/>
  <c r="O9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M9" i="18"/>
  <c r="EH13" i="16" s="1"/>
  <c r="L9" i="18"/>
  <c r="G6" i="18"/>
  <c r="D21" i="18"/>
  <c r="D20" i="18"/>
  <c r="D19" i="18"/>
  <c r="D18" i="18"/>
  <c r="D17" i="18"/>
  <c r="D16" i="18"/>
  <c r="D15" i="18"/>
  <c r="D13" i="18"/>
  <c r="D11" i="18"/>
  <c r="D10" i="18"/>
  <c r="D9" i="18"/>
  <c r="D8" i="18"/>
  <c r="D7" i="18"/>
  <c r="D6" i="18"/>
  <c r="CV14" i="16" l="1"/>
  <c r="CV13" i="16"/>
  <c r="CT14" i="16"/>
  <c r="CU12" i="16"/>
  <c r="BJ13" i="29"/>
  <c r="CU13" i="16"/>
  <c r="BJ14" i="29"/>
  <c r="CT13" i="16"/>
  <c r="BI14" i="29"/>
  <c r="CV12" i="16"/>
  <c r="CT12" i="16"/>
  <c r="CU14" i="16"/>
  <c r="N21" i="28"/>
  <c r="AD23" i="27"/>
  <c r="H17" i="18"/>
  <c r="I17" i="18" s="1"/>
  <c r="H11" i="18"/>
  <c r="I11" i="18" s="1"/>
  <c r="H22" i="18"/>
  <c r="T25" i="18" s="1"/>
  <c r="H16" i="18"/>
  <c r="I16" i="18" s="1"/>
  <c r="H10" i="18"/>
  <c r="I10" i="18" s="1"/>
  <c r="H21" i="18"/>
  <c r="I21" i="18" s="1"/>
  <c r="H15" i="18"/>
  <c r="I15" i="18" s="1"/>
  <c r="H9" i="18"/>
  <c r="I9" i="18" s="1"/>
  <c r="H20" i="18"/>
  <c r="I20" i="18" s="1"/>
  <c r="H14" i="18"/>
  <c r="I14" i="18" s="1"/>
  <c r="H8" i="18"/>
  <c r="I8" i="18" s="1"/>
  <c r="H19" i="18"/>
  <c r="I19" i="18" s="1"/>
  <c r="H13" i="18"/>
  <c r="I13" i="18" s="1"/>
  <c r="H7" i="18"/>
  <c r="I7" i="18" s="1"/>
  <c r="T10" i="18" s="1"/>
  <c r="BS6" i="16" s="1"/>
  <c r="BH13" i="29" s="1"/>
  <c r="H18" i="18"/>
  <c r="I18" i="18" s="1"/>
  <c r="H12" i="18"/>
  <c r="I12" i="18" s="1"/>
  <c r="S9" i="18"/>
  <c r="DM32" i="16"/>
  <c r="DH33" i="16"/>
  <c r="DH31" i="16"/>
  <c r="DH32" i="16"/>
  <c r="DH30" i="16"/>
  <c r="H6" i="18"/>
  <c r="I6" i="18" s="1"/>
  <c r="T9" i="18" s="1"/>
  <c r="P21" i="28" l="1"/>
  <c r="AE23" i="27"/>
  <c r="CS12" i="16"/>
  <c r="T17" i="18"/>
  <c r="BS13" i="16" s="1"/>
  <c r="BH20" i="29" s="1"/>
  <c r="T11" i="18"/>
  <c r="BS7" i="16" s="1"/>
  <c r="BH14" i="29" s="1"/>
  <c r="T22" i="18"/>
  <c r="BS18" i="16" s="1"/>
  <c r="BH25" i="29" s="1"/>
  <c r="T13" i="18"/>
  <c r="BS9" i="16" s="1"/>
  <c r="BH16" i="29" s="1"/>
  <c r="T18" i="18"/>
  <c r="BS14" i="16" s="1"/>
  <c r="BH21" i="29" s="1"/>
  <c r="T16" i="18"/>
  <c r="BS12" i="16" s="1"/>
  <c r="BH19" i="29" s="1"/>
  <c r="T24" i="18"/>
  <c r="BS20" i="16" s="1"/>
  <c r="BH27" i="29" s="1"/>
  <c r="T20" i="18"/>
  <c r="BS16" i="16" s="1"/>
  <c r="BH23" i="29" s="1"/>
  <c r="T23" i="18"/>
  <c r="BS19" i="16" s="1"/>
  <c r="BH26" i="29" s="1"/>
  <c r="T15" i="18"/>
  <c r="BS11" i="16" s="1"/>
  <c r="BH18" i="29" s="1"/>
  <c r="T14" i="18"/>
  <c r="BS10" i="16" s="1"/>
  <c r="BH17" i="29" s="1"/>
  <c r="T12" i="18"/>
  <c r="BS8" i="16" s="1"/>
  <c r="BH15" i="29" s="1"/>
  <c r="T19" i="18"/>
  <c r="BS15" i="16" s="1"/>
  <c r="BH22" i="29" s="1"/>
  <c r="T21" i="18"/>
  <c r="BS17" i="16" s="1"/>
  <c r="BH24" i="29" s="1"/>
  <c r="DM33" i="16"/>
  <c r="I22" i="18"/>
  <c r="DN33" i="16" s="1"/>
  <c r="BS5" i="16"/>
  <c r="BH12" i="29" s="1"/>
  <c r="DM28" i="16"/>
  <c r="DM29" i="16"/>
  <c r="DK29" i="16"/>
  <c r="DG29" i="16"/>
  <c r="DF29" i="16"/>
  <c r="DG28" i="16"/>
  <c r="DF28" i="16"/>
  <c r="M9" i="10"/>
  <c r="M38" i="10"/>
  <c r="DM25" i="16"/>
  <c r="DM24" i="16"/>
  <c r="DM23" i="16"/>
  <c r="DK25" i="16"/>
  <c r="DG25" i="16"/>
  <c r="DF25" i="16"/>
  <c r="DG24" i="16"/>
  <c r="DF24" i="16"/>
  <c r="DG23" i="16"/>
  <c r="DF23" i="16"/>
  <c r="O56" i="10"/>
  <c r="P55" i="10"/>
  <c r="O55" i="10"/>
  <c r="P54" i="10"/>
  <c r="O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7" i="10"/>
  <c r="G54" i="10"/>
  <c r="G53" i="10"/>
  <c r="P56" i="10" s="1"/>
  <c r="N22" i="28" l="1"/>
  <c r="BB20" i="28" s="1"/>
  <c r="BW36" i="28" s="1"/>
  <c r="AD24" i="27"/>
  <c r="R55" i="10"/>
  <c r="Q55" i="10"/>
  <c r="CS17" i="16"/>
  <c r="CS25" i="16"/>
  <c r="CS26" i="16"/>
  <c r="CS18" i="16"/>
  <c r="CS11" i="16"/>
  <c r="CS20" i="16"/>
  <c r="CS15" i="16"/>
  <c r="CS24" i="16"/>
  <c r="CS22" i="16"/>
  <c r="CS23" i="16"/>
  <c r="CS13" i="16"/>
  <c r="CS21" i="16"/>
  <c r="CS19" i="16"/>
  <c r="CS14" i="16"/>
  <c r="CS16" i="16"/>
  <c r="DH28" i="16"/>
  <c r="EH12" i="16"/>
  <c r="EH10" i="16"/>
  <c r="DH21" i="16"/>
  <c r="EH11" i="16"/>
  <c r="EH9" i="16"/>
  <c r="U25" i="18"/>
  <c r="DH24" i="16"/>
  <c r="DH23" i="16"/>
  <c r="DH29" i="16"/>
  <c r="DH25" i="16"/>
  <c r="DO29" i="16"/>
  <c r="DH20" i="16"/>
  <c r="DH22" i="16"/>
  <c r="DO25" i="16"/>
  <c r="L9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P22" i="28" l="1"/>
  <c r="BB21" i="28" s="1"/>
  <c r="CA36" i="28" s="1"/>
  <c r="AE24" i="27"/>
  <c r="DM27" i="16"/>
  <c r="DK27" i="16"/>
  <c r="DM26" i="16"/>
  <c r="G24" i="10"/>
  <c r="G23" i="10"/>
  <c r="P26" i="10"/>
  <c r="P25" i="10"/>
  <c r="DG27" i="16"/>
  <c r="DG26" i="16"/>
  <c r="DF27" i="16"/>
  <c r="DF26" i="16"/>
  <c r="DM22" i="16"/>
  <c r="DK22" i="16"/>
  <c r="DM21" i="16"/>
  <c r="DM20" i="16"/>
  <c r="DG22" i="16"/>
  <c r="DG21" i="16"/>
  <c r="DG20" i="16"/>
  <c r="DF22" i="16"/>
  <c r="DF21" i="16"/>
  <c r="DF20" i="16"/>
  <c r="O27" i="10"/>
  <c r="O26" i="10"/>
  <c r="O25" i="10"/>
  <c r="DO22" i="16" l="1"/>
  <c r="P27" i="10"/>
  <c r="Q26" i="10"/>
  <c r="R26" i="10"/>
  <c r="DO27" i="16"/>
  <c r="DK12" i="16"/>
  <c r="DK11" i="16"/>
  <c r="DK9" i="16"/>
  <c r="DK8" i="16"/>
  <c r="DK6" i="16"/>
  <c r="DK5" i="16"/>
  <c r="DG33" i="16" l="1"/>
  <c r="DF33" i="16"/>
  <c r="DG32" i="16"/>
  <c r="DF32" i="16"/>
  <c r="DG31" i="16"/>
  <c r="DF31" i="16"/>
  <c r="DG30" i="16"/>
  <c r="DF30" i="16"/>
  <c r="DM13" i="16"/>
  <c r="DM10" i="16"/>
  <c r="DM7" i="16"/>
  <c r="DG16" i="16"/>
  <c r="DF16" i="16"/>
  <c r="DG13" i="16"/>
  <c r="DF13" i="16"/>
  <c r="DG10" i="16"/>
  <c r="DF10" i="16"/>
  <c r="DG7" i="16"/>
  <c r="DF7" i="16"/>
  <c r="DG15" i="16"/>
  <c r="DF15" i="16"/>
  <c r="DG14" i="16"/>
  <c r="DF14" i="16"/>
  <c r="DG12" i="16"/>
  <c r="DF12" i="16"/>
  <c r="DG11" i="16"/>
  <c r="DF11" i="16"/>
  <c r="DG9" i="16"/>
  <c r="DF9" i="16"/>
  <c r="DG8" i="16"/>
  <c r="DF8" i="16"/>
  <c r="DG6" i="16"/>
  <c r="DF6" i="16"/>
  <c r="DF5" i="16"/>
  <c r="DG5" i="16"/>
  <c r="CK26" i="16" l="1"/>
  <c r="CK25" i="16"/>
  <c r="CK24" i="16"/>
  <c r="CK23" i="16"/>
  <c r="CK22" i="16"/>
  <c r="CK21" i="16"/>
  <c r="CK20" i="16"/>
  <c r="CK19" i="16"/>
  <c r="CK18" i="16"/>
  <c r="CK17" i="16"/>
  <c r="CK16" i="16"/>
  <c r="CK15" i="16"/>
  <c r="CK14" i="16"/>
  <c r="CK13" i="16"/>
  <c r="CK12" i="16"/>
  <c r="CK11" i="16"/>
  <c r="CJ26" i="16"/>
  <c r="CJ25" i="16"/>
  <c r="CJ24" i="16"/>
  <c r="CJ23" i="16"/>
  <c r="CJ22" i="16"/>
  <c r="CJ21" i="16"/>
  <c r="CJ20" i="16"/>
  <c r="CJ19" i="16"/>
  <c r="CJ18" i="16"/>
  <c r="CJ17" i="16"/>
  <c r="CJ16" i="16"/>
  <c r="CJ15" i="16"/>
  <c r="CJ14" i="16"/>
  <c r="CJ13" i="16"/>
  <c r="CJ12" i="16"/>
  <c r="CJ11" i="16"/>
  <c r="BH20" i="16" l="1"/>
  <c r="BH19" i="16"/>
  <c r="BH18" i="16"/>
  <c r="BH17" i="16"/>
  <c r="BH16" i="16"/>
  <c r="BH15" i="16"/>
  <c r="BH14" i="16"/>
  <c r="BH13" i="16"/>
  <c r="BH12" i="16"/>
  <c r="BH11" i="16"/>
  <c r="BH10" i="16"/>
  <c r="BH9" i="16"/>
  <c r="BH8" i="16"/>
  <c r="BH7" i="16"/>
  <c r="BH6" i="16"/>
  <c r="BH5" i="16"/>
  <c r="BG20" i="16"/>
  <c r="BG19" i="16"/>
  <c r="BG18" i="16"/>
  <c r="BG17" i="16"/>
  <c r="BG16" i="16"/>
  <c r="BG15" i="16"/>
  <c r="BG14" i="16"/>
  <c r="BG13" i="16"/>
  <c r="BG12" i="16"/>
  <c r="BG11" i="16"/>
  <c r="BG10" i="16"/>
  <c r="BG9" i="16"/>
  <c r="BG8" i="16"/>
  <c r="BG7" i="16"/>
  <c r="BG6" i="16"/>
  <c r="BG5" i="16"/>
  <c r="BI5" i="16" l="1"/>
  <c r="BI7" i="16"/>
  <c r="BJ9" i="16"/>
  <c r="BI11" i="16"/>
  <c r="BJ13" i="16"/>
  <c r="BI15" i="16"/>
  <c r="BI17" i="16"/>
  <c r="BJ19" i="16"/>
  <c r="BJ6" i="16"/>
  <c r="BJ8" i="16"/>
  <c r="BJ10" i="16"/>
  <c r="BJ12" i="16"/>
  <c r="BJ14" i="16"/>
  <c r="BJ16" i="16"/>
  <c r="BJ18" i="16"/>
  <c r="BJ20" i="16"/>
  <c r="BI8" i="16"/>
  <c r="BI12" i="16"/>
  <c r="BI16" i="16"/>
  <c r="BI20" i="16"/>
  <c r="BI6" i="16"/>
  <c r="BI10" i="16"/>
  <c r="BI14" i="16"/>
  <c r="BI18" i="16"/>
  <c r="BI9" i="16"/>
  <c r="BI13" i="16"/>
  <c r="BI19" i="16"/>
  <c r="BJ5" i="16"/>
  <c r="BJ7" i="16"/>
  <c r="BJ11" i="16"/>
  <c r="BJ15" i="16"/>
  <c r="BJ17" i="16"/>
  <c r="L24" i="10" l="1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DH27" i="16" l="1"/>
  <c r="DH26" i="16"/>
  <c r="T9" i="2"/>
  <c r="T9" i="3"/>
  <c r="P26" i="2"/>
  <c r="N26" i="2"/>
  <c r="P25" i="2"/>
  <c r="N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R9" i="2"/>
  <c r="O9" i="2"/>
  <c r="M9" i="2"/>
  <c r="EH6" i="16" s="1"/>
  <c r="L9" i="2"/>
  <c r="N26" i="3"/>
  <c r="N25" i="3"/>
  <c r="P26" i="3"/>
  <c r="P25" i="3"/>
  <c r="O9" i="3"/>
  <c r="R9" i="3"/>
  <c r="M9" i="3"/>
  <c r="P26" i="5"/>
  <c r="P25" i="5"/>
  <c r="N26" i="5"/>
  <c r="N25" i="5"/>
  <c r="T9" i="5"/>
  <c r="R9" i="5"/>
  <c r="A9" i="18"/>
  <c r="A6" i="18"/>
  <c r="R9" i="18" s="1"/>
  <c r="O9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M9" i="5"/>
  <c r="EH4" i="16" s="1"/>
  <c r="EH5" i="16" l="1"/>
  <c r="AU19" i="16" s="1"/>
  <c r="P26" i="29" s="1"/>
  <c r="DH10" i="16"/>
  <c r="DH9" i="16"/>
  <c r="DH8" i="16"/>
  <c r="R12" i="18"/>
  <c r="P12" i="18"/>
  <c r="Q12" i="18"/>
  <c r="P9" i="18"/>
  <c r="Q9" i="18"/>
  <c r="A39" i="10"/>
  <c r="A8" i="18"/>
  <c r="A41" i="10"/>
  <c r="A10" i="18"/>
  <c r="A43" i="10"/>
  <c r="A12" i="18"/>
  <c r="A45" i="10"/>
  <c r="O46" i="10" s="1"/>
  <c r="A14" i="18"/>
  <c r="A47" i="10"/>
  <c r="A16" i="18"/>
  <c r="A38" i="10"/>
  <c r="A7" i="18"/>
  <c r="R10" i="18" s="1"/>
  <c r="A42" i="10"/>
  <c r="A11" i="18"/>
  <c r="A44" i="10"/>
  <c r="Q45" i="10" s="1"/>
  <c r="A13" i="18"/>
  <c r="A46" i="10"/>
  <c r="P47" i="10" s="1"/>
  <c r="A15" i="18"/>
  <c r="A48" i="10"/>
  <c r="Q49" i="10" s="1"/>
  <c r="A17" i="18"/>
  <c r="A52" i="10"/>
  <c r="A21" i="18"/>
  <c r="A51" i="10"/>
  <c r="P52" i="10" s="1"/>
  <c r="A20" i="18"/>
  <c r="A50" i="10"/>
  <c r="A19" i="18"/>
  <c r="A49" i="10"/>
  <c r="A18" i="18"/>
  <c r="A10" i="5"/>
  <c r="A40" i="10"/>
  <c r="R41" i="10" s="1"/>
  <c r="A37" i="10"/>
  <c r="R38" i="10" s="1"/>
  <c r="A7" i="10"/>
  <c r="R9" i="10" s="1"/>
  <c r="DH6" i="16"/>
  <c r="DH7" i="16"/>
  <c r="DH12" i="16"/>
  <c r="DH13" i="16"/>
  <c r="DH5" i="16"/>
  <c r="DH11" i="16"/>
  <c r="A7" i="17"/>
  <c r="A9" i="17"/>
  <c r="A11" i="17"/>
  <c r="A13" i="17"/>
  <c r="A15" i="17"/>
  <c r="A17" i="17"/>
  <c r="A19" i="17"/>
  <c r="A8" i="17"/>
  <c r="A10" i="17"/>
  <c r="A14" i="17"/>
  <c r="A16" i="17"/>
  <c r="A18" i="17"/>
  <c r="A20" i="17"/>
  <c r="A12" i="17"/>
  <c r="A22" i="17"/>
  <c r="A21" i="17"/>
  <c r="A7" i="5"/>
  <c r="A7" i="2"/>
  <c r="S9" i="2" s="1"/>
  <c r="A9" i="5"/>
  <c r="A9" i="2"/>
  <c r="S11" i="2" s="1"/>
  <c r="A9" i="10"/>
  <c r="R11" i="10" s="1"/>
  <c r="A11" i="5"/>
  <c r="A11" i="2"/>
  <c r="S13" i="2" s="1"/>
  <c r="A11" i="10"/>
  <c r="R13" i="10" s="1"/>
  <c r="A13" i="5"/>
  <c r="A13" i="2"/>
  <c r="S15" i="2" s="1"/>
  <c r="A13" i="10"/>
  <c r="R15" i="10" s="1"/>
  <c r="A15" i="5"/>
  <c r="A15" i="2"/>
  <c r="S17" i="2" s="1"/>
  <c r="A15" i="10"/>
  <c r="R17" i="10" s="1"/>
  <c r="A17" i="5"/>
  <c r="A17" i="2"/>
  <c r="S19" i="2" s="1"/>
  <c r="A17" i="10"/>
  <c r="R19" i="10" s="1"/>
  <c r="A19" i="5"/>
  <c r="A19" i="2"/>
  <c r="S21" i="2" s="1"/>
  <c r="A19" i="10"/>
  <c r="R21" i="10" s="1"/>
  <c r="A7" i="3"/>
  <c r="S9" i="3" s="1"/>
  <c r="A11" i="3"/>
  <c r="S13" i="3" s="1"/>
  <c r="A15" i="3"/>
  <c r="S17" i="3" s="1"/>
  <c r="A19" i="3"/>
  <c r="S21" i="3" s="1"/>
  <c r="A8" i="5"/>
  <c r="S10" i="5" s="1"/>
  <c r="A8" i="10"/>
  <c r="R10" i="10" s="1"/>
  <c r="A8" i="2"/>
  <c r="S10" i="2" s="1"/>
  <c r="A8" i="3"/>
  <c r="S10" i="3" s="1"/>
  <c r="A10" i="10"/>
  <c r="R12" i="10" s="1"/>
  <c r="A10" i="2"/>
  <c r="S12" i="2" s="1"/>
  <c r="A10" i="3"/>
  <c r="S12" i="3" s="1"/>
  <c r="A12" i="5"/>
  <c r="A12" i="10"/>
  <c r="R14" i="10" s="1"/>
  <c r="A12" i="2"/>
  <c r="S14" i="2" s="1"/>
  <c r="A12" i="3"/>
  <c r="S14" i="3" s="1"/>
  <c r="A14" i="5"/>
  <c r="S16" i="5" s="1"/>
  <c r="A14" i="10"/>
  <c r="R16" i="10" s="1"/>
  <c r="A14" i="2"/>
  <c r="S16" i="2" s="1"/>
  <c r="A14" i="3"/>
  <c r="S16" i="3" s="1"/>
  <c r="A16" i="5"/>
  <c r="A16" i="10"/>
  <c r="R18" i="10" s="1"/>
  <c r="A16" i="2"/>
  <c r="S18" i="2" s="1"/>
  <c r="A16" i="3"/>
  <c r="S18" i="3" s="1"/>
  <c r="A18" i="5"/>
  <c r="S20" i="5" s="1"/>
  <c r="A18" i="10"/>
  <c r="R20" i="10" s="1"/>
  <c r="A18" i="2"/>
  <c r="S20" i="2" s="1"/>
  <c r="A18" i="3"/>
  <c r="S20" i="3" s="1"/>
  <c r="A20" i="5"/>
  <c r="A20" i="10"/>
  <c r="R22" i="10" s="1"/>
  <c r="A20" i="2"/>
  <c r="S22" i="2" s="1"/>
  <c r="A20" i="3"/>
  <c r="S22" i="3" s="1"/>
  <c r="A9" i="3"/>
  <c r="S11" i="3" s="1"/>
  <c r="A13" i="3"/>
  <c r="S15" i="3" s="1"/>
  <c r="A17" i="3"/>
  <c r="S19" i="3" s="1"/>
  <c r="A22" i="5"/>
  <c r="S24" i="5" s="1"/>
  <c r="A22" i="2"/>
  <c r="S24" i="2" s="1"/>
  <c r="A22" i="10"/>
  <c r="R24" i="10" s="1"/>
  <c r="A21" i="5"/>
  <c r="A21" i="2"/>
  <c r="S23" i="2" s="1"/>
  <c r="A21" i="10"/>
  <c r="R23" i="10" s="1"/>
  <c r="A21" i="3"/>
  <c r="S23" i="3" s="1"/>
  <c r="A22" i="3"/>
  <c r="S24" i="3" s="1"/>
  <c r="AU9" i="16" l="1"/>
  <c r="P16" i="29" s="1"/>
  <c r="AU14" i="16"/>
  <c r="P21" i="29" s="1"/>
  <c r="AU10" i="16"/>
  <c r="P17" i="29" s="1"/>
  <c r="AU11" i="16"/>
  <c r="P18" i="29" s="1"/>
  <c r="AU12" i="16"/>
  <c r="P19" i="29" s="1"/>
  <c r="AU13" i="16"/>
  <c r="P20" i="29" s="1"/>
  <c r="AU16" i="16"/>
  <c r="P23" i="29" s="1"/>
  <c r="AU5" i="16"/>
  <c r="P12" i="29" s="1"/>
  <c r="AU8" i="16"/>
  <c r="P15" i="29" s="1"/>
  <c r="AU17" i="16"/>
  <c r="P24" i="29" s="1"/>
  <c r="AU20" i="16"/>
  <c r="P27" i="29" s="1"/>
  <c r="AU6" i="16"/>
  <c r="P13" i="29" s="1"/>
  <c r="AU15" i="16"/>
  <c r="P22" i="29" s="1"/>
  <c r="AU18" i="16"/>
  <c r="P25" i="29" s="1"/>
  <c r="AU7" i="16"/>
  <c r="P14" i="29" s="1"/>
  <c r="R18" i="18"/>
  <c r="Q18" i="18"/>
  <c r="P18" i="18"/>
  <c r="R15" i="18"/>
  <c r="Q15" i="18"/>
  <c r="P15" i="18"/>
  <c r="Q21" i="18"/>
  <c r="P21" i="18"/>
  <c r="R21" i="18"/>
  <c r="R16" i="18"/>
  <c r="Q16" i="18"/>
  <c r="P16" i="18"/>
  <c r="R13" i="18"/>
  <c r="P13" i="18"/>
  <c r="Q13" i="18"/>
  <c r="Q22" i="18"/>
  <c r="P22" i="18"/>
  <c r="R22" i="18"/>
  <c r="R14" i="18"/>
  <c r="Q14" i="18"/>
  <c r="P14" i="18"/>
  <c r="P11" i="18"/>
  <c r="R11" i="18"/>
  <c r="Q11" i="18"/>
  <c r="P23" i="18"/>
  <c r="Q23" i="18"/>
  <c r="R23" i="18"/>
  <c r="Q24" i="18"/>
  <c r="R24" i="18"/>
  <c r="P24" i="18"/>
  <c r="Q19" i="18"/>
  <c r="P19" i="18"/>
  <c r="R19" i="18"/>
  <c r="Q20" i="18"/>
  <c r="R20" i="18"/>
  <c r="P20" i="18"/>
  <c r="R17" i="18"/>
  <c r="P17" i="18"/>
  <c r="Q17" i="18"/>
  <c r="CB8" i="16"/>
  <c r="BQ15" i="29" s="1"/>
  <c r="CB5" i="16"/>
  <c r="BQ12" i="29" s="1"/>
  <c r="O49" i="10"/>
  <c r="O52" i="10"/>
  <c r="R52" i="10"/>
  <c r="CB19" i="16" s="1"/>
  <c r="BQ26" i="29" s="1"/>
  <c r="Q44" i="10"/>
  <c r="R44" i="10"/>
  <c r="CB11" i="16" s="1"/>
  <c r="BQ18" i="29" s="1"/>
  <c r="P40" i="10"/>
  <c r="R40" i="10"/>
  <c r="CB7" i="16" s="1"/>
  <c r="BQ14" i="29" s="1"/>
  <c r="O51" i="10"/>
  <c r="R51" i="10"/>
  <c r="CB18" i="16" s="1"/>
  <c r="BQ25" i="29" s="1"/>
  <c r="P53" i="10"/>
  <c r="R53" i="10"/>
  <c r="CB20" i="16" s="1"/>
  <c r="BQ27" i="29" s="1"/>
  <c r="Q47" i="10"/>
  <c r="R47" i="10"/>
  <c r="CB14" i="16" s="1"/>
  <c r="BQ21" i="29" s="1"/>
  <c r="P43" i="10"/>
  <c r="R43" i="10"/>
  <c r="CB10" i="16" s="1"/>
  <c r="BQ17" i="29" s="1"/>
  <c r="Q50" i="10"/>
  <c r="R50" i="10"/>
  <c r="CB17" i="16" s="1"/>
  <c r="BQ24" i="29" s="1"/>
  <c r="P49" i="10"/>
  <c r="R49" i="10"/>
  <c r="CB16" i="16" s="1"/>
  <c r="BQ23" i="29" s="1"/>
  <c r="P45" i="10"/>
  <c r="R45" i="10"/>
  <c r="CB12" i="16" s="1"/>
  <c r="BQ19" i="29" s="1"/>
  <c r="Q48" i="10"/>
  <c r="R48" i="10"/>
  <c r="CB15" i="16" s="1"/>
  <c r="BQ22" i="29" s="1"/>
  <c r="Q52" i="10"/>
  <c r="O45" i="10"/>
  <c r="O39" i="10"/>
  <c r="R39" i="10"/>
  <c r="CB6" i="16" s="1"/>
  <c r="BQ13" i="29" s="1"/>
  <c r="P46" i="10"/>
  <c r="R46" i="10"/>
  <c r="CB13" i="16" s="1"/>
  <c r="BQ20" i="29" s="1"/>
  <c r="P42" i="10"/>
  <c r="R42" i="10"/>
  <c r="CB9" i="16" s="1"/>
  <c r="BQ16" i="29" s="1"/>
  <c r="Q9" i="10"/>
  <c r="Q10" i="10"/>
  <c r="P12" i="5"/>
  <c r="S12" i="5"/>
  <c r="P21" i="5"/>
  <c r="S21" i="5"/>
  <c r="P13" i="5"/>
  <c r="S13" i="5"/>
  <c r="P22" i="5"/>
  <c r="S22" i="5"/>
  <c r="P18" i="5"/>
  <c r="S18" i="5"/>
  <c r="P14" i="5"/>
  <c r="S14" i="5"/>
  <c r="P17" i="5"/>
  <c r="S17" i="5"/>
  <c r="P19" i="5"/>
  <c r="S19" i="5"/>
  <c r="P11" i="5"/>
  <c r="S11" i="5"/>
  <c r="P23" i="5"/>
  <c r="S23" i="5"/>
  <c r="P15" i="5"/>
  <c r="S15" i="5"/>
  <c r="P9" i="5"/>
  <c r="S9" i="5"/>
  <c r="O50" i="10"/>
  <c r="Q42" i="10"/>
  <c r="O42" i="10"/>
  <c r="P50" i="10"/>
  <c r="Q43" i="10"/>
  <c r="P39" i="10"/>
  <c r="Q39" i="10"/>
  <c r="Q46" i="10"/>
  <c r="Q51" i="10"/>
  <c r="Q53" i="10"/>
  <c r="P44" i="10"/>
  <c r="O40" i="10"/>
  <c r="O53" i="10"/>
  <c r="O47" i="10"/>
  <c r="Q40" i="10"/>
  <c r="P51" i="10"/>
  <c r="P48" i="10"/>
  <c r="O44" i="10"/>
  <c r="O43" i="10"/>
  <c r="O48" i="10"/>
  <c r="P24" i="5"/>
  <c r="P10" i="18"/>
  <c r="Q10" i="18"/>
  <c r="P38" i="10"/>
  <c r="O38" i="10"/>
  <c r="Q38" i="10"/>
  <c r="Q41" i="10"/>
  <c r="O41" i="10"/>
  <c r="P41" i="10"/>
  <c r="O10" i="10"/>
  <c r="P10" i="10"/>
  <c r="P21" i="10"/>
  <c r="Q21" i="10"/>
  <c r="O21" i="10"/>
  <c r="P17" i="10"/>
  <c r="Q17" i="10"/>
  <c r="O17" i="10"/>
  <c r="BX13" i="16" s="1"/>
  <c r="BM20" i="29" s="1"/>
  <c r="P13" i="10"/>
  <c r="Q13" i="10"/>
  <c r="O13" i="10"/>
  <c r="P23" i="10"/>
  <c r="BY19" i="16" s="1"/>
  <c r="BN26" i="29" s="1"/>
  <c r="Q23" i="10"/>
  <c r="O23" i="10"/>
  <c r="Q24" i="10"/>
  <c r="O24" i="10"/>
  <c r="P24" i="10"/>
  <c r="Q22" i="10"/>
  <c r="O22" i="10"/>
  <c r="P22" i="10"/>
  <c r="Q20" i="10"/>
  <c r="BZ16" i="16" s="1"/>
  <c r="BO23" i="29" s="1"/>
  <c r="O20" i="10"/>
  <c r="P20" i="10"/>
  <c r="Q18" i="10"/>
  <c r="O18" i="10"/>
  <c r="P18" i="10"/>
  <c r="BY14" i="16" s="1"/>
  <c r="BN21" i="29" s="1"/>
  <c r="Q16" i="10"/>
  <c r="BZ12" i="16" s="1"/>
  <c r="BO19" i="29" s="1"/>
  <c r="O16" i="10"/>
  <c r="P16" i="10"/>
  <c r="Q14" i="10"/>
  <c r="O14" i="10"/>
  <c r="P14" i="10"/>
  <c r="Q12" i="10"/>
  <c r="O12" i="10"/>
  <c r="P12" i="10"/>
  <c r="P19" i="10"/>
  <c r="Q19" i="10"/>
  <c r="O19" i="10"/>
  <c r="P15" i="10"/>
  <c r="Q15" i="10"/>
  <c r="O15" i="10"/>
  <c r="P11" i="10"/>
  <c r="Q11" i="10"/>
  <c r="O11" i="10"/>
  <c r="P9" i="10"/>
  <c r="O9" i="10"/>
  <c r="P16" i="5"/>
  <c r="P10" i="5"/>
  <c r="P20" i="5"/>
  <c r="P15" i="3"/>
  <c r="P22" i="3"/>
  <c r="P20" i="3"/>
  <c r="P18" i="3"/>
  <c r="P16" i="3"/>
  <c r="P14" i="3"/>
  <c r="P12" i="3"/>
  <c r="P10" i="2"/>
  <c r="P17" i="3"/>
  <c r="P9" i="3"/>
  <c r="P19" i="2"/>
  <c r="P15" i="2"/>
  <c r="P11" i="2"/>
  <c r="P19" i="3"/>
  <c r="P11" i="3"/>
  <c r="P22" i="2"/>
  <c r="P20" i="2"/>
  <c r="P18" i="2"/>
  <c r="P16" i="2"/>
  <c r="P14" i="2"/>
  <c r="P12" i="2"/>
  <c r="P10" i="3"/>
  <c r="P21" i="3"/>
  <c r="P13" i="3"/>
  <c r="P21" i="2"/>
  <c r="P17" i="2"/>
  <c r="P13" i="2"/>
  <c r="P9" i="2"/>
  <c r="P24" i="2"/>
  <c r="P23" i="2"/>
  <c r="P24" i="3"/>
  <c r="P23" i="3"/>
  <c r="BX5" i="16" l="1"/>
  <c r="BM12" i="29" s="1"/>
  <c r="DC15" i="16"/>
  <c r="DC22" i="16"/>
  <c r="DC13" i="16"/>
  <c r="DC17" i="16"/>
  <c r="CZ20" i="16"/>
  <c r="DC12" i="16"/>
  <c r="DC16" i="16"/>
  <c r="DC25" i="16"/>
  <c r="DC23" i="16"/>
  <c r="CZ25" i="16"/>
  <c r="DC20" i="16"/>
  <c r="DA18" i="16"/>
  <c r="DC11" i="16"/>
  <c r="DC19" i="16"/>
  <c r="DA22" i="16"/>
  <c r="DC21" i="16"/>
  <c r="DC26" i="16"/>
  <c r="DC14" i="16"/>
  <c r="DC18" i="16"/>
  <c r="DC24" i="16"/>
  <c r="CY19" i="16"/>
  <c r="BY10" i="16"/>
  <c r="BN17" i="29" s="1"/>
  <c r="BY7" i="16"/>
  <c r="BN14" i="29" s="1"/>
  <c r="BX16" i="16"/>
  <c r="BM23" i="29" s="1"/>
  <c r="BY17" i="16"/>
  <c r="BN24" i="29" s="1"/>
  <c r="BZ11" i="16"/>
  <c r="BO18" i="29" s="1"/>
  <c r="BX11" i="16"/>
  <c r="BM18" i="29" s="1"/>
  <c r="BY13" i="16"/>
  <c r="BN20" i="29" s="1"/>
  <c r="BZ18" i="16"/>
  <c r="BO25" i="29" s="1"/>
  <c r="BY15" i="16"/>
  <c r="BN22" i="29" s="1"/>
  <c r="BX8" i="16"/>
  <c r="BM15" i="29" s="1"/>
  <c r="BX19" i="16"/>
  <c r="BM26" i="29" s="1"/>
  <c r="BZ17" i="16"/>
  <c r="BO24" i="29" s="1"/>
  <c r="BZ14" i="16"/>
  <c r="BO21" i="29" s="1"/>
  <c r="BZ10" i="16"/>
  <c r="BO17" i="29" s="1"/>
  <c r="BZ20" i="16"/>
  <c r="BO27" i="29" s="1"/>
  <c r="BX20" i="16"/>
  <c r="BM27" i="29" s="1"/>
  <c r="BY18" i="16"/>
  <c r="BN25" i="29" s="1"/>
  <c r="BX15" i="16"/>
  <c r="BM22" i="29" s="1"/>
  <c r="BX14" i="16"/>
  <c r="BM21" i="29" s="1"/>
  <c r="BZ13" i="16"/>
  <c r="BO20" i="29" s="1"/>
  <c r="BX12" i="16"/>
  <c r="BM19" i="29" s="1"/>
  <c r="BZ9" i="16"/>
  <c r="BO16" i="29" s="1"/>
  <c r="BZ8" i="16"/>
  <c r="BO15" i="29" s="1"/>
  <c r="BY8" i="16"/>
  <c r="BN15" i="29" s="1"/>
  <c r="BZ7" i="16"/>
  <c r="BO14" i="29" s="1"/>
  <c r="BX7" i="16"/>
  <c r="BM14" i="29" s="1"/>
  <c r="BZ6" i="16"/>
  <c r="BO13" i="29" s="1"/>
  <c r="BY6" i="16"/>
  <c r="BN13" i="29" s="1"/>
  <c r="BX6" i="16"/>
  <c r="BM13" i="29" s="1"/>
  <c r="BZ5" i="16"/>
  <c r="BO12" i="29" s="1"/>
  <c r="BY5" i="16"/>
  <c r="BN12" i="29" s="1"/>
  <c r="BY11" i="16"/>
  <c r="BN18" i="29" s="1"/>
  <c r="BZ15" i="16"/>
  <c r="BO22" i="29" s="1"/>
  <c r="BX10" i="16"/>
  <c r="BM17" i="29" s="1"/>
  <c r="BY12" i="16"/>
  <c r="BN19" i="29" s="1"/>
  <c r="BY16" i="16"/>
  <c r="BN23" i="29" s="1"/>
  <c r="BX18" i="16"/>
  <c r="BM25" i="29" s="1"/>
  <c r="BY20" i="16"/>
  <c r="BN27" i="29" s="1"/>
  <c r="BZ19" i="16"/>
  <c r="BO26" i="29" s="1"/>
  <c r="BX9" i="16"/>
  <c r="BM16" i="29" s="1"/>
  <c r="BY9" i="16"/>
  <c r="BN16" i="29" s="1"/>
  <c r="BX17" i="16"/>
  <c r="BM24" i="29" s="1"/>
  <c r="DA25" i="16" l="1"/>
  <c r="CZ23" i="16"/>
  <c r="CZ19" i="16"/>
  <c r="CZ24" i="16"/>
  <c r="CZ13" i="16"/>
  <c r="DA12" i="16"/>
  <c r="CZ22" i="16"/>
  <c r="CZ16" i="16"/>
  <c r="DA23" i="16"/>
  <c r="DA26" i="16"/>
  <c r="DA20" i="16"/>
  <c r="CZ11" i="16"/>
  <c r="DA11" i="16"/>
  <c r="CY12" i="16"/>
  <c r="CZ12" i="16"/>
  <c r="DA15" i="16"/>
  <c r="CZ15" i="16"/>
  <c r="DA13" i="16"/>
  <c r="CZ14" i="16"/>
  <c r="DA17" i="16"/>
  <c r="CZ26" i="16"/>
  <c r="DA16" i="16"/>
  <c r="CZ18" i="16"/>
  <c r="DA14" i="16"/>
  <c r="DA21" i="16"/>
  <c r="CZ17" i="16"/>
  <c r="CZ21" i="16"/>
  <c r="CY11" i="16"/>
  <c r="DA19" i="16"/>
  <c r="DA24" i="16"/>
  <c r="CY23" i="16"/>
  <c r="CY24" i="16"/>
  <c r="CY25" i="16"/>
  <c r="CY26" i="16"/>
  <c r="CY22" i="16"/>
  <c r="CY21" i="16"/>
  <c r="CY20" i="16"/>
  <c r="CY18" i="16"/>
  <c r="CY17" i="16"/>
  <c r="CY16" i="16"/>
  <c r="CY15" i="16"/>
  <c r="CY14" i="16"/>
  <c r="CY13" i="16"/>
  <c r="D24" i="5"/>
  <c r="Q26" i="5" s="1"/>
  <c r="D23" i="5"/>
  <c r="Q25" i="5" s="1"/>
  <c r="D22" i="5"/>
  <c r="Q24" i="5" s="1"/>
  <c r="D21" i="5"/>
  <c r="Q23" i="5" s="1"/>
  <c r="D20" i="5"/>
  <c r="Q22" i="5" s="1"/>
  <c r="D19" i="5"/>
  <c r="Q21" i="5" s="1"/>
  <c r="Q20" i="5"/>
  <c r="D17" i="5"/>
  <c r="Q19" i="5" s="1"/>
  <c r="D16" i="5"/>
  <c r="Q18" i="5" s="1"/>
  <c r="D15" i="5"/>
  <c r="Q17" i="5" s="1"/>
  <c r="D14" i="5"/>
  <c r="Q16" i="5" s="1"/>
  <c r="D13" i="5"/>
  <c r="Q15" i="5" s="1"/>
  <c r="D12" i="5"/>
  <c r="Q14" i="5" s="1"/>
  <c r="D11" i="5"/>
  <c r="Q13" i="5" s="1"/>
  <c r="D10" i="5"/>
  <c r="Q12" i="5" s="1"/>
  <c r="D9" i="5"/>
  <c r="Q11" i="5" s="1"/>
  <c r="D8" i="5"/>
  <c r="Q10" i="5" s="1"/>
  <c r="D7" i="5"/>
  <c r="Q9" i="5" s="1"/>
  <c r="D24" i="3"/>
  <c r="Q26" i="3" s="1"/>
  <c r="D23" i="3"/>
  <c r="Q25" i="3" s="1"/>
  <c r="D22" i="3"/>
  <c r="Q24" i="3" s="1"/>
  <c r="D21" i="3"/>
  <c r="D20" i="3"/>
  <c r="Q22" i="3" s="1"/>
  <c r="D19" i="3"/>
  <c r="Q21" i="3" s="1"/>
  <c r="D18" i="3"/>
  <c r="Q20" i="3" s="1"/>
  <c r="D17" i="3"/>
  <c r="Q19" i="3" s="1"/>
  <c r="D16" i="3"/>
  <c r="Q18" i="3" s="1"/>
  <c r="D15" i="3"/>
  <c r="D14" i="3"/>
  <c r="Q16" i="3" s="1"/>
  <c r="D13" i="3"/>
  <c r="Q15" i="3" s="1"/>
  <c r="D12" i="3"/>
  <c r="Q14" i="3" s="1"/>
  <c r="D11" i="3"/>
  <c r="Q13" i="3" s="1"/>
  <c r="D10" i="3"/>
  <c r="Q12" i="3" s="1"/>
  <c r="D9" i="3"/>
  <c r="D8" i="3"/>
  <c r="D7" i="3"/>
  <c r="D8" i="2"/>
  <c r="Q10" i="2" s="1"/>
  <c r="D9" i="2"/>
  <c r="Q11" i="2" s="1"/>
  <c r="D10" i="2"/>
  <c r="Q12" i="2" s="1"/>
  <c r="D11" i="2"/>
  <c r="Q13" i="2" s="1"/>
  <c r="D12" i="2"/>
  <c r="Q14" i="2" s="1"/>
  <c r="D13" i="2"/>
  <c r="Q15" i="2" s="1"/>
  <c r="Q16" i="2"/>
  <c r="Q17" i="2"/>
  <c r="Q18" i="2"/>
  <c r="D17" i="2"/>
  <c r="Q19" i="2" s="1"/>
  <c r="D18" i="2"/>
  <c r="Q20" i="2" s="1"/>
  <c r="D19" i="2"/>
  <c r="Q21" i="2" s="1"/>
  <c r="D20" i="2"/>
  <c r="D21" i="2"/>
  <c r="D22" i="2"/>
  <c r="D23" i="2"/>
  <c r="D24" i="2"/>
  <c r="D7" i="2"/>
  <c r="Q9" i="2" s="1"/>
  <c r="Q17" i="3" l="1"/>
  <c r="G15" i="3"/>
  <c r="H15" i="3" s="1"/>
  <c r="U17" i="3" s="1"/>
  <c r="BN13" i="16" s="1"/>
  <c r="BC20" i="29" s="1"/>
  <c r="G22" i="2"/>
  <c r="H22" i="2" s="1"/>
  <c r="U24" i="2" s="1"/>
  <c r="BO20" i="16" s="1"/>
  <c r="BD27" i="29" s="1"/>
  <c r="Q24" i="2"/>
  <c r="G21" i="3"/>
  <c r="H21" i="3" s="1"/>
  <c r="U23" i="3" s="1"/>
  <c r="BN19" i="16" s="1"/>
  <c r="BC26" i="29" s="1"/>
  <c r="Q23" i="3"/>
  <c r="Q26" i="2"/>
  <c r="G24" i="2"/>
  <c r="H24" i="2" s="1"/>
  <c r="G20" i="2"/>
  <c r="H20" i="2" s="1"/>
  <c r="U22" i="2" s="1"/>
  <c r="BO18" i="16" s="1"/>
  <c r="BD25" i="29" s="1"/>
  <c r="Q22" i="2"/>
  <c r="G9" i="3"/>
  <c r="H9" i="3" s="1"/>
  <c r="U11" i="3" s="1"/>
  <c r="BN7" i="16" s="1"/>
  <c r="BC14" i="29" s="1"/>
  <c r="Q11" i="3"/>
  <c r="G8" i="3"/>
  <c r="H8" i="3" s="1"/>
  <c r="U10" i="3" s="1"/>
  <c r="BN6" i="16" s="1"/>
  <c r="BC13" i="29" s="1"/>
  <c r="Q10" i="3"/>
  <c r="G21" i="2"/>
  <c r="H21" i="2" s="1"/>
  <c r="U23" i="2" s="1"/>
  <c r="BO19" i="16" s="1"/>
  <c r="BD26" i="29" s="1"/>
  <c r="Q23" i="2"/>
  <c r="G7" i="3"/>
  <c r="H7" i="3" s="1"/>
  <c r="U9" i="3" s="1"/>
  <c r="BN5" i="16" s="1"/>
  <c r="BC12" i="29" s="1"/>
  <c r="Q9" i="3"/>
  <c r="Q25" i="2"/>
  <c r="G23" i="2"/>
  <c r="H23" i="2" s="1"/>
  <c r="G18" i="2"/>
  <c r="H18" i="2" s="1"/>
  <c r="U20" i="2" s="1"/>
  <c r="BO16" i="16" s="1"/>
  <c r="BD23" i="29" s="1"/>
  <c r="G16" i="2"/>
  <c r="H16" i="2" s="1"/>
  <c r="U18" i="2" s="1"/>
  <c r="BO14" i="16" s="1"/>
  <c r="BD21" i="29" s="1"/>
  <c r="G14" i="2"/>
  <c r="H14" i="2" s="1"/>
  <c r="U16" i="2" s="1"/>
  <c r="BO12" i="16" s="1"/>
  <c r="BD19" i="29" s="1"/>
  <c r="G12" i="2"/>
  <c r="H12" i="2" s="1"/>
  <c r="U14" i="2" s="1"/>
  <c r="BO10" i="16" s="1"/>
  <c r="BD17" i="29" s="1"/>
  <c r="G10" i="2"/>
  <c r="H10" i="2" s="1"/>
  <c r="U12" i="2" s="1"/>
  <c r="BO8" i="16" s="1"/>
  <c r="BD15" i="29" s="1"/>
  <c r="G8" i="2"/>
  <c r="H8" i="2" s="1"/>
  <c r="U10" i="2" s="1"/>
  <c r="BO6" i="16" s="1"/>
  <c r="BD13" i="29" s="1"/>
  <c r="G7" i="2"/>
  <c r="H7" i="2" s="1"/>
  <c r="U9" i="2" s="1"/>
  <c r="BO5" i="16" s="1"/>
  <c r="BD12" i="29" s="1"/>
  <c r="G19" i="2"/>
  <c r="H19" i="2" s="1"/>
  <c r="U21" i="2" s="1"/>
  <c r="BO17" i="16" s="1"/>
  <c r="BD24" i="29" s="1"/>
  <c r="G17" i="2"/>
  <c r="H17" i="2" s="1"/>
  <c r="U19" i="2" s="1"/>
  <c r="BO15" i="16" s="1"/>
  <c r="BD22" i="29" s="1"/>
  <c r="G15" i="2"/>
  <c r="H15" i="2" s="1"/>
  <c r="U17" i="2" s="1"/>
  <c r="BO13" i="16" s="1"/>
  <c r="BD20" i="29" s="1"/>
  <c r="G13" i="2"/>
  <c r="H13" i="2" s="1"/>
  <c r="U15" i="2" s="1"/>
  <c r="BO11" i="16" s="1"/>
  <c r="BD18" i="29" s="1"/>
  <c r="G11" i="2"/>
  <c r="H11" i="2" s="1"/>
  <c r="U13" i="2" s="1"/>
  <c r="BO9" i="16" s="1"/>
  <c r="BD16" i="29" s="1"/>
  <c r="G9" i="2"/>
  <c r="H9" i="2" s="1"/>
  <c r="U11" i="2" s="1"/>
  <c r="BO7" i="16" s="1"/>
  <c r="BD14" i="29" s="1"/>
  <c r="G21" i="5"/>
  <c r="H21" i="5" s="1"/>
  <c r="U23" i="5" s="1"/>
  <c r="BM19" i="16" s="1"/>
  <c r="BB26" i="29" s="1"/>
  <c r="G10" i="3"/>
  <c r="H10" i="3" s="1"/>
  <c r="U12" i="3" s="1"/>
  <c r="BN8" i="16" s="1"/>
  <c r="BC15" i="29" s="1"/>
  <c r="G12" i="3"/>
  <c r="H12" i="3" s="1"/>
  <c r="U14" i="3" s="1"/>
  <c r="BN10" i="16" s="1"/>
  <c r="BC17" i="29" s="1"/>
  <c r="G14" i="3"/>
  <c r="H14" i="3" s="1"/>
  <c r="U16" i="3" s="1"/>
  <c r="BN12" i="16" s="1"/>
  <c r="BC19" i="29" s="1"/>
  <c r="G16" i="3"/>
  <c r="H16" i="3" s="1"/>
  <c r="U18" i="3" s="1"/>
  <c r="BN14" i="16" s="1"/>
  <c r="BC21" i="29" s="1"/>
  <c r="G18" i="3"/>
  <c r="H18" i="3" s="1"/>
  <c r="U20" i="3" s="1"/>
  <c r="BN16" i="16" s="1"/>
  <c r="BC23" i="29" s="1"/>
  <c r="G20" i="3"/>
  <c r="H20" i="3" s="1"/>
  <c r="U22" i="3" s="1"/>
  <c r="BN18" i="16" s="1"/>
  <c r="BC25" i="29" s="1"/>
  <c r="G22" i="3"/>
  <c r="H22" i="3" s="1"/>
  <c r="U24" i="3" s="1"/>
  <c r="BN20" i="16" s="1"/>
  <c r="BC27" i="29" s="1"/>
  <c r="G24" i="3"/>
  <c r="H24" i="3" s="1"/>
  <c r="G11" i="3"/>
  <c r="H11" i="3" s="1"/>
  <c r="U13" i="3" s="1"/>
  <c r="BN9" i="16" s="1"/>
  <c r="BC16" i="29" s="1"/>
  <c r="G13" i="3"/>
  <c r="H13" i="3" s="1"/>
  <c r="U15" i="3" s="1"/>
  <c r="BN11" i="16" s="1"/>
  <c r="BC18" i="29" s="1"/>
  <c r="G17" i="3"/>
  <c r="H17" i="3" s="1"/>
  <c r="U19" i="3" s="1"/>
  <c r="BN15" i="16" s="1"/>
  <c r="BC22" i="29" s="1"/>
  <c r="G19" i="3"/>
  <c r="H19" i="3" s="1"/>
  <c r="U21" i="3" s="1"/>
  <c r="BN17" i="16" s="1"/>
  <c r="BC24" i="29" s="1"/>
  <c r="G23" i="3"/>
  <c r="H23" i="3" s="1"/>
  <c r="G23" i="5"/>
  <c r="H23" i="5" s="1"/>
  <c r="G24" i="5"/>
  <c r="H24" i="5" s="1"/>
  <c r="G8" i="5"/>
  <c r="H8" i="5" s="1"/>
  <c r="U10" i="5" s="1"/>
  <c r="BM6" i="16" s="1"/>
  <c r="BB13" i="29" s="1"/>
  <c r="G10" i="5"/>
  <c r="H10" i="5" s="1"/>
  <c r="U12" i="5" s="1"/>
  <c r="BM8" i="16" s="1"/>
  <c r="BB15" i="29" s="1"/>
  <c r="G12" i="5"/>
  <c r="H12" i="5" s="1"/>
  <c r="U14" i="5" s="1"/>
  <c r="BM10" i="16" s="1"/>
  <c r="BB17" i="29" s="1"/>
  <c r="G14" i="5"/>
  <c r="H14" i="5" s="1"/>
  <c r="U16" i="5" s="1"/>
  <c r="BM12" i="16" s="1"/>
  <c r="BB19" i="29" s="1"/>
  <c r="G16" i="5"/>
  <c r="H16" i="5" s="1"/>
  <c r="U18" i="5" s="1"/>
  <c r="BM14" i="16" s="1"/>
  <c r="BB21" i="29" s="1"/>
  <c r="G18" i="5"/>
  <c r="H18" i="5" s="1"/>
  <c r="U20" i="5" s="1"/>
  <c r="BM16" i="16" s="1"/>
  <c r="BB23" i="29" s="1"/>
  <c r="G20" i="5"/>
  <c r="H20" i="5" s="1"/>
  <c r="U22" i="5" s="1"/>
  <c r="BM18" i="16" s="1"/>
  <c r="BB25" i="29" s="1"/>
  <c r="G22" i="5"/>
  <c r="H22" i="5" s="1"/>
  <c r="U24" i="5" s="1"/>
  <c r="BM20" i="16" s="1"/>
  <c r="BB27" i="29" s="1"/>
  <c r="G7" i="5"/>
  <c r="H7" i="5" s="1"/>
  <c r="U9" i="5" s="1"/>
  <c r="BM5" i="16" s="1"/>
  <c r="BB12" i="29" s="1"/>
  <c r="G9" i="5"/>
  <c r="H9" i="5" s="1"/>
  <c r="U11" i="5" s="1"/>
  <c r="BM7" i="16" s="1"/>
  <c r="BB14" i="29" s="1"/>
  <c r="G11" i="5"/>
  <c r="H11" i="5" s="1"/>
  <c r="U13" i="5" s="1"/>
  <c r="BM9" i="16" s="1"/>
  <c r="BB16" i="29" s="1"/>
  <c r="G13" i="5"/>
  <c r="H13" i="5" s="1"/>
  <c r="U15" i="5" s="1"/>
  <c r="BM11" i="16" s="1"/>
  <c r="BB18" i="29" s="1"/>
  <c r="G15" i="5"/>
  <c r="H15" i="5" s="1"/>
  <c r="U17" i="5" s="1"/>
  <c r="BM13" i="16" s="1"/>
  <c r="BB20" i="29" s="1"/>
  <c r="G17" i="5"/>
  <c r="H17" i="5" s="1"/>
  <c r="U19" i="5" s="1"/>
  <c r="BM15" i="16" s="1"/>
  <c r="BB22" i="29" s="1"/>
  <c r="G19" i="5"/>
  <c r="H19" i="5" s="1"/>
  <c r="U21" i="5" s="1"/>
  <c r="BM17" i="16" s="1"/>
  <c r="BB24" i="29" s="1"/>
  <c r="CM23" i="16" l="1"/>
  <c r="CM19" i="16"/>
  <c r="CM15" i="16"/>
  <c r="CM11" i="16"/>
  <c r="CM24" i="16"/>
  <c r="CM20" i="16"/>
  <c r="CM16" i="16"/>
  <c r="CM12" i="16"/>
  <c r="CN23" i="16"/>
  <c r="CN19" i="16"/>
  <c r="CN15" i="16"/>
  <c r="CN26" i="16"/>
  <c r="CN22" i="16"/>
  <c r="CN18" i="16"/>
  <c r="CN14" i="16"/>
  <c r="CO13" i="16"/>
  <c r="CO17" i="16"/>
  <c r="CO21" i="16"/>
  <c r="CO11" i="16"/>
  <c r="CO14" i="16"/>
  <c r="CO18" i="16"/>
  <c r="CO22" i="16"/>
  <c r="CN11" i="16"/>
  <c r="CO25" i="16"/>
  <c r="CN12" i="16"/>
  <c r="CN13" i="16"/>
  <c r="CO24" i="16"/>
  <c r="CM21" i="16"/>
  <c r="CM17" i="16"/>
  <c r="CM13" i="16"/>
  <c r="CM26" i="16"/>
  <c r="CM22" i="16"/>
  <c r="CM18" i="16"/>
  <c r="CM14" i="16"/>
  <c r="CN21" i="16"/>
  <c r="CN17" i="16"/>
  <c r="CN24" i="16"/>
  <c r="CN20" i="16"/>
  <c r="CN16" i="16"/>
  <c r="CM25" i="16"/>
  <c r="CO15" i="16"/>
  <c r="CO19" i="16"/>
  <c r="CO23" i="16"/>
  <c r="CO12" i="16"/>
  <c r="CO16" i="16"/>
  <c r="CO20" i="16"/>
  <c r="CN25" i="16"/>
  <c r="CO26" i="16"/>
  <c r="U25" i="2"/>
  <c r="DM11" i="16"/>
  <c r="U26" i="2"/>
  <c r="DM12" i="16"/>
  <c r="U25" i="3"/>
  <c r="DM8" i="16"/>
  <c r="U26" i="3"/>
  <c r="DM9" i="16"/>
  <c r="U25" i="5"/>
  <c r="DM5" i="16"/>
  <c r="U26" i="5"/>
  <c r="DM6" i="16"/>
  <c r="V25" i="2" l="1"/>
  <c r="DN11" i="16"/>
  <c r="V26" i="2"/>
  <c r="DN12" i="16"/>
  <c r="V25" i="3"/>
  <c r="DN8" i="16"/>
  <c r="V26" i="3"/>
  <c r="DN9" i="16"/>
  <c r="V26" i="5"/>
  <c r="DN6" i="16"/>
  <c r="V25" i="5"/>
  <c r="DN5" i="16"/>
</calcChain>
</file>

<file path=xl/sharedStrings.xml><?xml version="1.0" encoding="utf-8"?>
<sst xmlns="http://schemas.openxmlformats.org/spreadsheetml/2006/main" count="7023" uniqueCount="1174">
  <si>
    <t>delta</t>
  </si>
  <si>
    <t>hígítás</t>
  </si>
  <si>
    <t>Minta sorszáma</t>
  </si>
  <si>
    <t>Minta azonosítója</t>
  </si>
  <si>
    <t>vak extinkció</t>
  </si>
  <si>
    <t>faktor</t>
  </si>
  <si>
    <t>NO2 koncentráció mg/l</t>
  </si>
  <si>
    <t>QC1</t>
  </si>
  <si>
    <t>QC2</t>
  </si>
  <si>
    <t>Nitrit meghatározása szennyvízből fotometriával MSZ 260-10:1985</t>
  </si>
  <si>
    <t>mért extinkció</t>
  </si>
  <si>
    <t>Nitrát meghatározása szennyvízből fotometriával MSZ 260-11:1971</t>
  </si>
  <si>
    <t>Ammónium-nitrogén meghatározása szennyvízből fotometriával MSZ ISO 7150-1:1992</t>
  </si>
  <si>
    <t>NO3 koncentráció mg/l</t>
  </si>
  <si>
    <t>Anionaktív detergens koncentráció mg/l</t>
  </si>
  <si>
    <t>%</t>
  </si>
  <si>
    <t>QC1 (0,1)</t>
  </si>
  <si>
    <t>QC2 (50)</t>
  </si>
  <si>
    <t>pH</t>
  </si>
  <si>
    <t>higítás</t>
  </si>
  <si>
    <t>Laborkód</t>
  </si>
  <si>
    <t>Mintavétel dátuma</t>
  </si>
  <si>
    <t>Típus</t>
  </si>
  <si>
    <t>Nr.</t>
  </si>
  <si>
    <t>Mérés dátuma:</t>
  </si>
  <si>
    <t>sorszám</t>
  </si>
  <si>
    <t>dátum</t>
  </si>
  <si>
    <t>vizsgálati hely</t>
  </si>
  <si>
    <t>abszorbancia</t>
  </si>
  <si>
    <t>küvetta</t>
  </si>
  <si>
    <t>(cm)</t>
  </si>
  <si>
    <t>spektrofotometria</t>
  </si>
  <si>
    <t>megjegyzés</t>
  </si>
  <si>
    <t>vak</t>
  </si>
  <si>
    <t>minta</t>
  </si>
  <si>
    <t xml:space="preserve">Δ  </t>
  </si>
  <si>
    <t>Küvetta:</t>
  </si>
  <si>
    <t>cm</t>
  </si>
  <si>
    <t>A vizsgálatokat  végezte………………………………………………………</t>
  </si>
  <si>
    <t>EC</t>
  </si>
  <si>
    <t>Hőmérséklet</t>
  </si>
  <si>
    <t>Kalibráció:</t>
  </si>
  <si>
    <t>Asy:</t>
  </si>
  <si>
    <t>Slp:</t>
  </si>
  <si>
    <t>-</t>
  </si>
  <si>
    <t>mg/l</t>
  </si>
  <si>
    <t>fogyás (ml)</t>
  </si>
  <si>
    <t>Fogyás (ml):</t>
  </si>
  <si>
    <t>Sorszám</t>
  </si>
  <si>
    <t>Dátum</t>
  </si>
  <si>
    <t>Év</t>
  </si>
  <si>
    <t>Negyedév</t>
  </si>
  <si>
    <t>pH
(-)</t>
  </si>
  <si>
    <t>T
(°C)</t>
  </si>
  <si>
    <t>AMH:</t>
  </si>
  <si>
    <t>TIZEDES:</t>
  </si>
  <si>
    <t>képlet</t>
  </si>
  <si>
    <t>1,00</t>
  </si>
  <si>
    <t>0,04</t>
  </si>
  <si>
    <t>T</t>
  </si>
  <si>
    <t>na</t>
  </si>
  <si>
    <t>2,0</t>
  </si>
  <si>
    <t>mg/L</t>
  </si>
  <si>
    <t>IDEIGLENES</t>
  </si>
  <si>
    <t>Mintalista</t>
  </si>
  <si>
    <t>minta
azonosító
szám</t>
  </si>
  <si>
    <t>Összesítő jegyzőkönyv</t>
  </si>
  <si>
    <t>Excel összesítő táblázat - Formázott szöveg</t>
  </si>
  <si>
    <t>ÉV</t>
  </si>
  <si>
    <t>NEM VÉDETT!</t>
  </si>
  <si>
    <t>MÁTRIX</t>
  </si>
  <si>
    <t>Mátrix</t>
  </si>
  <si>
    <t>Paraméter</t>
  </si>
  <si>
    <t>Név</t>
  </si>
  <si>
    <t>Mértékegység</t>
  </si>
  <si>
    <t>Névleges</t>
  </si>
  <si>
    <t>Mért</t>
  </si>
  <si>
    <t>Recovery</t>
  </si>
  <si>
    <t>NO3</t>
  </si>
  <si>
    <t>NO2</t>
  </si>
  <si>
    <t>Vak</t>
  </si>
  <si>
    <t>A</t>
  </si>
  <si>
    <t>mL</t>
  </si>
  <si>
    <t>V faktor</t>
  </si>
  <si>
    <t>QC report</t>
  </si>
  <si>
    <t>QC oldatok:</t>
  </si>
  <si>
    <t>QC3 (0,5)</t>
  </si>
  <si>
    <t>Névleges konc.:</t>
  </si>
  <si>
    <t>QC3 (25)</t>
  </si>
  <si>
    <t>QC1 (4,01)</t>
  </si>
  <si>
    <t>QC2 (7,00)</t>
  </si>
  <si>
    <t>QC3 (10,01)</t>
  </si>
  <si>
    <t>pH QC oldatok:</t>
  </si>
  <si>
    <t>EC QC oldatok:</t>
  </si>
  <si>
    <t>mV/pH</t>
  </si>
  <si>
    <t>mV</t>
  </si>
  <si>
    <t>Slp</t>
  </si>
  <si>
    <t>Asy</t>
  </si>
  <si>
    <t>Névleges konc (Tref=20oC).:</t>
  </si>
  <si>
    <t>Cellaállandó:</t>
  </si>
  <si>
    <t>Eltérés:</t>
  </si>
  <si>
    <t>Eltérés</t>
  </si>
  <si>
    <t>1/cm</t>
  </si>
  <si>
    <t>uS/cm</t>
  </si>
  <si>
    <t>Cellaállandó</t>
  </si>
  <si>
    <t>QC2 (132,8)</t>
  </si>
  <si>
    <t>QC1 (1276)</t>
  </si>
  <si>
    <t>DÁTUM</t>
  </si>
  <si>
    <t>pH, EC 1. nap</t>
  </si>
  <si>
    <t>pH, EC 2. nap</t>
  </si>
  <si>
    <t>Dátum:</t>
  </si>
  <si>
    <t>Titrálás során fogyott permanganát-mérőoldat térfogata, ml</t>
  </si>
  <si>
    <t>KMnO₄  oldat faktora</t>
  </si>
  <si>
    <t>KOIps</t>
  </si>
  <si>
    <t>Δ</t>
  </si>
  <si>
    <t xml:space="preserve">Faktor </t>
  </si>
  <si>
    <t>ml</t>
  </si>
  <si>
    <t>Bemért
mennyiség</t>
  </si>
  <si>
    <t>permanganometria</t>
  </si>
  <si>
    <t>a.mh: 0,3 mg/l</t>
  </si>
  <si>
    <t>0,30</t>
  </si>
  <si>
    <t>QC1 (1,84)</t>
  </si>
  <si>
    <t>amh</t>
  </si>
  <si>
    <t>tizdesjegyek</t>
  </si>
  <si>
    <t>QC3</t>
  </si>
  <si>
    <t>Névleges konc.</t>
  </si>
  <si>
    <t>Küvetta</t>
  </si>
  <si>
    <t>Mintanév teljes</t>
  </si>
  <si>
    <t>Mintanév rövid</t>
  </si>
  <si>
    <t>IV</t>
  </si>
  <si>
    <t>NH4</t>
  </si>
  <si>
    <t>QC2 (0,5)</t>
  </si>
  <si>
    <t>QC3 (1)</t>
  </si>
  <si>
    <t>alsó mérésh.: 0,04 mg/l</t>
  </si>
  <si>
    <t>bemért mennyiség</t>
  </si>
  <si>
    <t>Bemért mennyiség</t>
  </si>
  <si>
    <t>QC1 (4)</t>
  </si>
  <si>
    <t>a.mh.: 1,0 mg/l</t>
  </si>
  <si>
    <t>0,02</t>
  </si>
  <si>
    <t>QC1 (0,04)</t>
  </si>
  <si>
    <t>Ammónium koncentráció mg/l</t>
  </si>
  <si>
    <t>Összes Vas meghatározása ivóvízből fotometriával MSZ 448-4:1983 2. fejezet (visszavont szabvány)</t>
  </si>
  <si>
    <t>Összes Vas koncentráció mg/l</t>
  </si>
  <si>
    <t>Fe</t>
  </si>
  <si>
    <t>QC1 (0,05)</t>
  </si>
  <si>
    <t>QC2 (0,2)</t>
  </si>
  <si>
    <t>Összes mangán meghatározása ivóvízből fotometriával MSZ 1484-2:1993</t>
  </si>
  <si>
    <t>Összes mangán koncentráció mg/l</t>
  </si>
  <si>
    <t>Mn</t>
  </si>
  <si>
    <t>QC1 (0,03)</t>
  </si>
  <si>
    <t>QC2 (0,1)</t>
  </si>
  <si>
    <t>zavarosság
NTU</t>
  </si>
  <si>
    <t>Zavarosság</t>
  </si>
  <si>
    <t>0,10</t>
  </si>
  <si>
    <t>KOIps meghatározása permanganometriával ivóvízből MSZ 448-20:1990 4. fejezet szerint</t>
  </si>
  <si>
    <t>Kloridion meghatározása argentmetriával ivóvízből MSZ 1484-15:2009 szerint</t>
  </si>
  <si>
    <t>Fogyott ezüst-nitrát-mérőoldat térfogata, ml</t>
  </si>
  <si>
    <t>AgNO₃ oldat faktora</t>
  </si>
  <si>
    <t>Cl⁻
koncentráció</t>
  </si>
  <si>
    <t>Cl</t>
  </si>
  <si>
    <t>QC1 (20)</t>
  </si>
  <si>
    <t>argentometria</t>
  </si>
  <si>
    <t>a.mh: 2,0 mg/l</t>
  </si>
  <si>
    <t>Lúgosság meghatározása titrálással, a hidrogén-karbonátion tartalom kiszámítása
MSZ 444/11-86 szabvány szerint</t>
  </si>
  <si>
    <t>Bemért</t>
  </si>
  <si>
    <t>Bemért STD</t>
  </si>
  <si>
    <t>oldat(mL):</t>
  </si>
  <si>
    <t>HCl oldat faktora</t>
  </si>
  <si>
    <t>Fogyott sósav-mérőoldat térfogata, ml</t>
  </si>
  <si>
    <t>Lúgosság</t>
  </si>
  <si>
    <t>lúgosság</t>
  </si>
  <si>
    <t>mmol/L</t>
  </si>
  <si>
    <t>HCO3</t>
  </si>
  <si>
    <t>u.a.</t>
  </si>
  <si>
    <t>6,10</t>
  </si>
  <si>
    <t>HCl
faktor</t>
  </si>
  <si>
    <t>a.mh: 0,1 mmol/l</t>
  </si>
  <si>
    <t>a.mh: 6,1 mg/l</t>
  </si>
  <si>
    <t>Összes keménység, kalcium és magnézium ionok meghatározása ivóvíz mátrixból komplexometriás módszerrel MSZ 448/21-1986 és MSZ 448/3-1985 szabványok szerint</t>
  </si>
  <si>
    <t>EDTA mérőoldat faktora</t>
  </si>
  <si>
    <t>Fogyás Ca
alapoldattal
szemben</t>
  </si>
  <si>
    <t>Mérőoldat 
faktora:</t>
  </si>
  <si>
    <t>fogyás mL</t>
  </si>
  <si>
    <t>Keménység CaO mg/l</t>
  </si>
  <si>
    <r>
      <t>Ca</t>
    </r>
    <r>
      <rPr>
        <b/>
        <vertAlign val="superscript"/>
        <sz val="11"/>
        <color theme="1"/>
        <rFont val="Calibri"/>
        <family val="2"/>
        <charset val="238"/>
        <scheme val="minor"/>
      </rPr>
      <t>2+</t>
    </r>
    <r>
      <rPr>
        <b/>
        <sz val="11"/>
        <color theme="1"/>
        <rFont val="Calibri"/>
        <family val="2"/>
        <charset val="238"/>
        <scheme val="minor"/>
      </rPr>
      <t xml:space="preserve"> mg/l</t>
    </r>
  </si>
  <si>
    <r>
      <t>Mg</t>
    </r>
    <r>
      <rPr>
        <b/>
        <vertAlign val="superscript"/>
        <sz val="11"/>
        <color theme="1"/>
        <rFont val="Calibri"/>
        <family val="2"/>
        <charset val="238"/>
        <scheme val="minor"/>
      </rPr>
      <t>2+</t>
    </r>
    <r>
      <rPr>
        <b/>
        <sz val="11"/>
        <color theme="1"/>
        <rFont val="Calibri"/>
        <family val="2"/>
        <charset val="238"/>
        <scheme val="minor"/>
      </rPr>
      <t xml:space="preserve"> mg/l</t>
    </r>
  </si>
  <si>
    <t>ÖK</t>
  </si>
  <si>
    <t>Ca</t>
  </si>
  <si>
    <t>Mg</t>
  </si>
  <si>
    <t>1,5</t>
  </si>
  <si>
    <t>EDTA o.
faktor</t>
  </si>
  <si>
    <t>számítás</t>
  </si>
  <si>
    <t>1,5 mg/l &lt;</t>
  </si>
  <si>
    <t>Σ keménység</t>
  </si>
  <si>
    <t>ök 2</t>
  </si>
  <si>
    <t>ök 3</t>
  </si>
  <si>
    <t>ca 2</t>
  </si>
  <si>
    <t>ca 3</t>
  </si>
  <si>
    <t>mg 2</t>
  </si>
  <si>
    <t>mg 3</t>
  </si>
  <si>
    <t>Fogyás</t>
  </si>
  <si>
    <t>(ml):</t>
  </si>
  <si>
    <t>komplexometria 2,0 mg/l &lt;</t>
  </si>
  <si>
    <t>CaO mg/l</t>
  </si>
  <si>
    <t>komplexometria 1,5 mg/l &lt;</t>
  </si>
  <si>
    <t>fogyás ml</t>
  </si>
  <si>
    <t>Szulfátion meghatározása gravimetriával ivóvízből MSZ 448-13:1983 5. fejezete szerint</t>
  </si>
  <si>
    <t>üres tégely tömege (g)</t>
  </si>
  <si>
    <t>bemért mennyiség (g/ml)</t>
  </si>
  <si>
    <t>tégely tömege
izzítás után után (g)</t>
  </si>
  <si>
    <t>bemért
mennyiség (g/ml)</t>
  </si>
  <si>
    <t>SO₄²ˉ
koncentráció (mg/l)</t>
  </si>
  <si>
    <t>SO4</t>
  </si>
  <si>
    <t>gravimetria</t>
  </si>
  <si>
    <t>a.mh: 5 mg/l</t>
  </si>
  <si>
    <t>üres tégely (g)</t>
  </si>
  <si>
    <t>szárítás után(g)</t>
  </si>
  <si>
    <t>mg/L CaO</t>
  </si>
  <si>
    <t>mg/L Ca</t>
  </si>
  <si>
    <t>mg/L Mg</t>
  </si>
  <si>
    <t>kiszámolni</t>
  </si>
  <si>
    <r>
      <t>NH</t>
    </r>
    <r>
      <rPr>
        <b/>
        <vertAlign val="subscript"/>
        <sz val="10"/>
        <color rgb="FFFF33CC"/>
        <rFont val="Calibri"/>
        <family val="2"/>
        <charset val="238"/>
      </rPr>
      <t>4</t>
    </r>
    <r>
      <rPr>
        <b/>
        <vertAlign val="superscript"/>
        <sz val="10"/>
        <color rgb="FFFF33CC"/>
        <rFont val="Calibri"/>
        <family val="2"/>
        <charset val="238"/>
      </rPr>
      <t>+</t>
    </r>
    <r>
      <rPr>
        <b/>
        <sz val="10"/>
        <color rgb="FFFF33CC"/>
        <rFont val="Calibri"/>
        <family val="2"/>
        <charset val="238"/>
      </rPr>
      <t xml:space="preserve">
mg/L</t>
    </r>
  </si>
  <si>
    <r>
      <t>NO</t>
    </r>
    <r>
      <rPr>
        <b/>
        <vertAlign val="subscript"/>
        <sz val="10"/>
        <color rgb="FFFF33CC"/>
        <rFont val="Calibri"/>
        <family val="2"/>
        <charset val="238"/>
      </rPr>
      <t>3</t>
    </r>
    <r>
      <rPr>
        <b/>
        <vertAlign val="superscript"/>
        <sz val="10"/>
        <color rgb="FFFF33CC"/>
        <rFont val="Calibri"/>
        <family val="2"/>
        <charset val="238"/>
      </rPr>
      <t>-</t>
    </r>
    <r>
      <rPr>
        <b/>
        <sz val="10"/>
        <color rgb="FFFF33CC"/>
        <rFont val="Calibri"/>
        <family val="2"/>
        <charset val="238"/>
      </rPr>
      <t xml:space="preserve">
mg/L</t>
    </r>
  </si>
  <si>
    <r>
      <t>NO</t>
    </r>
    <r>
      <rPr>
        <b/>
        <vertAlign val="subscript"/>
        <sz val="10"/>
        <color rgb="FFFF33CC"/>
        <rFont val="Calibri"/>
        <family val="2"/>
        <charset val="238"/>
      </rPr>
      <t>2</t>
    </r>
    <r>
      <rPr>
        <b/>
        <vertAlign val="superscript"/>
        <sz val="10"/>
        <color rgb="FFFF33CC"/>
        <rFont val="Calibri"/>
        <family val="2"/>
        <charset val="238"/>
      </rPr>
      <t>-</t>
    </r>
    <r>
      <rPr>
        <b/>
        <sz val="10"/>
        <color rgb="FFFF33CC"/>
        <rFont val="Calibri"/>
        <family val="2"/>
        <charset val="238"/>
      </rPr>
      <t xml:space="preserve">
mg/L</t>
    </r>
  </si>
  <si>
    <r>
      <t>Fe</t>
    </r>
    <r>
      <rPr>
        <b/>
        <sz val="10"/>
        <color rgb="FFFF33CC"/>
        <rFont val="Calibri"/>
        <family val="2"/>
        <charset val="238"/>
      </rPr>
      <t xml:space="preserve">
mg/L</t>
    </r>
  </si>
  <si>
    <t>Mn
mg/L</t>
  </si>
  <si>
    <r>
      <t>Cl</t>
    </r>
    <r>
      <rPr>
        <b/>
        <vertAlign val="superscript"/>
        <sz val="10"/>
        <color rgb="FFFF33CC"/>
        <rFont val="Calibri"/>
        <family val="2"/>
        <charset val="238"/>
      </rPr>
      <t>-</t>
    </r>
    <r>
      <rPr>
        <b/>
        <sz val="10"/>
        <color rgb="FFFF33CC"/>
        <rFont val="Calibri"/>
        <family val="2"/>
        <charset val="238"/>
      </rPr>
      <t xml:space="preserve">
mg/L</t>
    </r>
  </si>
  <si>
    <r>
      <t>KOI</t>
    </r>
    <r>
      <rPr>
        <b/>
        <vertAlign val="subscript"/>
        <sz val="10"/>
        <color rgb="FFFF33CC"/>
        <rFont val="Calibri"/>
        <family val="2"/>
        <charset val="238"/>
      </rPr>
      <t>ps</t>
    </r>
    <r>
      <rPr>
        <b/>
        <sz val="10"/>
        <color rgb="FFFF33CC"/>
        <rFont val="Calibri"/>
        <family val="2"/>
        <charset val="238"/>
      </rPr>
      <t xml:space="preserve">
mg/L</t>
    </r>
  </si>
  <si>
    <t>ÖK
CaO mg/L</t>
  </si>
  <si>
    <r>
      <t>Ca</t>
    </r>
    <r>
      <rPr>
        <b/>
        <vertAlign val="superscript"/>
        <sz val="10"/>
        <color rgb="FFFF33CC"/>
        <rFont val="Calibri"/>
        <family val="2"/>
        <charset val="238"/>
      </rPr>
      <t>2+</t>
    </r>
    <r>
      <rPr>
        <b/>
        <sz val="10"/>
        <color rgb="FFFF33CC"/>
        <rFont val="Calibri"/>
        <family val="2"/>
        <charset val="238"/>
      </rPr>
      <t xml:space="preserve">
mg/L</t>
    </r>
  </si>
  <si>
    <r>
      <t>Mg</t>
    </r>
    <r>
      <rPr>
        <b/>
        <vertAlign val="superscript"/>
        <sz val="10"/>
        <color rgb="FFFF33CC"/>
        <rFont val="Calibri"/>
        <family val="2"/>
        <charset val="238"/>
      </rPr>
      <t>2+</t>
    </r>
    <r>
      <rPr>
        <b/>
        <sz val="10"/>
        <color rgb="FFFF33CC"/>
        <rFont val="Calibri"/>
        <family val="2"/>
        <charset val="238"/>
      </rPr>
      <t xml:space="preserve">
mg/L</t>
    </r>
  </si>
  <si>
    <t>lúg.
(mmol/l)</t>
  </si>
  <si>
    <r>
      <t>vez.kép.
(</t>
    </r>
    <r>
      <rPr>
        <b/>
        <sz val="10"/>
        <color rgb="FFFF33CC"/>
        <rFont val="Arial"/>
        <family val="2"/>
        <charset val="238"/>
      </rPr>
      <t>µ</t>
    </r>
    <r>
      <rPr>
        <b/>
        <sz val="10"/>
        <color rgb="FFFF33CC"/>
        <rFont val="Calibri"/>
        <family val="2"/>
        <charset val="238"/>
      </rPr>
      <t>S/cm)</t>
    </r>
  </si>
  <si>
    <r>
      <t>SO</t>
    </r>
    <r>
      <rPr>
        <b/>
        <vertAlign val="subscript"/>
        <sz val="10"/>
        <color rgb="FFFF33CC"/>
        <rFont val="Calibri"/>
        <family val="2"/>
        <charset val="238"/>
      </rPr>
      <t>4</t>
    </r>
    <r>
      <rPr>
        <b/>
        <vertAlign val="superscript"/>
        <sz val="10"/>
        <color rgb="FFFF33CC"/>
        <rFont val="Calibri"/>
        <family val="2"/>
        <charset val="238"/>
      </rPr>
      <t>2-</t>
    </r>
    <r>
      <rPr>
        <b/>
        <sz val="10"/>
        <color rgb="FFFF33CC"/>
        <rFont val="Calibri"/>
        <family val="2"/>
        <charset val="238"/>
      </rPr>
      <t xml:space="preserve">
mg/L</t>
    </r>
  </si>
  <si>
    <t>Zavarosság
(NTU)</t>
  </si>
  <si>
    <t>Szín</t>
  </si>
  <si>
    <t>Szag</t>
  </si>
  <si>
    <t>Íz</t>
  </si>
  <si>
    <r>
      <t>HCO</t>
    </r>
    <r>
      <rPr>
        <b/>
        <vertAlign val="subscript"/>
        <sz val="10"/>
        <color rgb="FFFF33CC"/>
        <rFont val="Calibri"/>
        <family val="2"/>
        <charset val="238"/>
      </rPr>
      <t>3</t>
    </r>
    <r>
      <rPr>
        <b/>
        <vertAlign val="superscript"/>
        <sz val="10"/>
        <color rgb="FFFF33CC"/>
        <rFont val="Calibri"/>
        <family val="2"/>
        <charset val="238"/>
      </rPr>
      <t>-</t>
    </r>
    <r>
      <rPr>
        <b/>
        <sz val="10"/>
        <color rgb="FFFF33CC"/>
        <rFont val="Calibri"/>
        <family val="2"/>
        <charset val="238"/>
      </rPr>
      <t xml:space="preserve">
mg/L</t>
    </r>
  </si>
  <si>
    <t>Ortofoszfát
mg/l</t>
  </si>
  <si>
    <t>Σ kem.
CaO
mg/l</t>
  </si>
  <si>
    <t>Lugos.
mmol/l</t>
  </si>
  <si>
    <t>Faljagos elektromos vezetőképesség
µS/cm
20°C-on</t>
  </si>
  <si>
    <t>Minta megnevezése</t>
  </si>
  <si>
    <r>
      <t>NH</t>
    </r>
    <r>
      <rPr>
        <b/>
        <vertAlign val="subscript"/>
        <sz val="12"/>
        <rFont val="Times New Roman"/>
        <family val="1"/>
        <charset val="238"/>
      </rPr>
      <t>4</t>
    </r>
    <r>
      <rPr>
        <b/>
        <vertAlign val="superscript"/>
        <sz val="12"/>
        <rFont val="Times New Roman"/>
        <family val="1"/>
        <charset val="238"/>
      </rPr>
      <t>+</t>
    </r>
  </si>
  <si>
    <r>
      <t>NO</t>
    </r>
    <r>
      <rPr>
        <b/>
        <vertAlign val="subscript"/>
        <sz val="12"/>
        <rFont val="Times New Roman"/>
        <family val="1"/>
        <charset val="238"/>
      </rPr>
      <t>3</t>
    </r>
    <r>
      <rPr>
        <b/>
        <vertAlign val="superscript"/>
        <sz val="12"/>
        <rFont val="Times New Roman"/>
        <family val="1"/>
        <charset val="238"/>
      </rPr>
      <t>-</t>
    </r>
  </si>
  <si>
    <r>
      <t>NO</t>
    </r>
    <r>
      <rPr>
        <b/>
        <vertAlign val="subscript"/>
        <sz val="12"/>
        <rFont val="Times New Roman"/>
        <family val="1"/>
        <charset val="238"/>
      </rPr>
      <t>2</t>
    </r>
    <r>
      <rPr>
        <b/>
        <vertAlign val="superscript"/>
        <sz val="12"/>
        <rFont val="Times New Roman"/>
        <family val="1"/>
        <charset val="238"/>
      </rPr>
      <t xml:space="preserve">-
</t>
    </r>
    <r>
      <rPr>
        <sz val="8"/>
        <rFont val="Times New Roman"/>
        <family val="1"/>
        <charset val="238"/>
      </rPr>
      <t>spektrofotometria
a.mh: 0,02 mg/l</t>
    </r>
  </si>
  <si>
    <r>
      <t>összes vas</t>
    </r>
    <r>
      <rPr>
        <b/>
        <vertAlign val="superscript"/>
        <sz val="12"/>
        <rFont val="Times New Roman"/>
        <family val="1"/>
        <charset val="238"/>
      </rPr>
      <t xml:space="preserve">
</t>
    </r>
    <r>
      <rPr>
        <sz val="8"/>
        <rFont val="Times New Roman"/>
        <family val="1"/>
        <charset val="238"/>
      </rPr>
      <t>spektrofotometria
a.mh: 0,03 mg/l</t>
    </r>
  </si>
  <si>
    <r>
      <t>összes mangán</t>
    </r>
    <r>
      <rPr>
        <b/>
        <vertAlign val="superscript"/>
        <sz val="12"/>
        <rFont val="Times New Roman"/>
        <family val="1"/>
        <charset val="238"/>
      </rPr>
      <t xml:space="preserve">
</t>
    </r>
    <r>
      <rPr>
        <sz val="8"/>
        <rFont val="Times New Roman"/>
        <family val="1"/>
        <charset val="238"/>
      </rPr>
      <t>spektrofotometria
a.mh: 0,03 mg/l</t>
    </r>
  </si>
  <si>
    <r>
      <t xml:space="preserve">pH
</t>
    </r>
    <r>
      <rPr>
        <sz val="10"/>
        <rFont val="Times New Roman"/>
        <family val="1"/>
        <charset val="238"/>
      </rPr>
      <t>m. tart.: 2-12</t>
    </r>
  </si>
  <si>
    <r>
      <t xml:space="preserve">vezetőképesség
 </t>
    </r>
    <r>
      <rPr>
        <sz val="12"/>
        <rFont val="Times New Roman"/>
        <family val="1"/>
        <charset val="238"/>
      </rPr>
      <t xml:space="preserve">20°C-on
</t>
    </r>
    <r>
      <rPr>
        <sz val="10"/>
        <rFont val="Times New Roman"/>
        <family val="1"/>
        <charset val="238"/>
      </rPr>
      <t>a.mh.: 10 µS/cm</t>
    </r>
    <r>
      <rPr>
        <sz val="12"/>
        <rFont val="Times New Roman"/>
        <family val="1"/>
        <charset val="238"/>
      </rPr>
      <t xml:space="preserve"> </t>
    </r>
  </si>
  <si>
    <r>
      <t>KMnO</t>
    </r>
    <r>
      <rPr>
        <b/>
        <vertAlign val="subscript"/>
        <sz val="12"/>
        <rFont val="Times New Roman"/>
        <family val="1"/>
        <charset val="238"/>
      </rPr>
      <t>4</t>
    </r>
    <r>
      <rPr>
        <b/>
        <sz val="12"/>
        <rFont val="Times New Roman"/>
        <family val="1"/>
        <charset val="238"/>
      </rPr>
      <t xml:space="preserve">
faktor</t>
    </r>
  </si>
  <si>
    <r>
      <t>AgNO</t>
    </r>
    <r>
      <rPr>
        <b/>
        <vertAlign val="subscript"/>
        <sz val="12"/>
        <rFont val="Times New Roman"/>
        <family val="1"/>
        <charset val="238"/>
      </rPr>
      <t>3</t>
    </r>
    <r>
      <rPr>
        <b/>
        <sz val="12"/>
        <rFont val="Times New Roman"/>
        <family val="1"/>
        <charset val="238"/>
      </rPr>
      <t xml:space="preserve">
faktor</t>
    </r>
  </si>
  <si>
    <r>
      <t>Cl</t>
    </r>
    <r>
      <rPr>
        <b/>
        <vertAlign val="superscript"/>
        <sz val="12"/>
        <rFont val="Times New Roman"/>
        <family val="1"/>
        <charset val="238"/>
      </rPr>
      <t>-</t>
    </r>
  </si>
  <si>
    <r>
      <t>HCO</t>
    </r>
    <r>
      <rPr>
        <b/>
        <vertAlign val="subscript"/>
        <sz val="12"/>
        <rFont val="Times New Roman"/>
        <family val="1"/>
        <charset val="238"/>
      </rPr>
      <t>3</t>
    </r>
    <r>
      <rPr>
        <b/>
        <vertAlign val="superscript"/>
        <sz val="12"/>
        <rFont val="Times New Roman"/>
        <family val="1"/>
        <charset val="238"/>
      </rPr>
      <t>-</t>
    </r>
  </si>
  <si>
    <r>
      <t>Ca</t>
    </r>
    <r>
      <rPr>
        <b/>
        <vertAlign val="superscript"/>
        <sz val="12"/>
        <rFont val="Times New Roman"/>
        <family val="1"/>
        <charset val="238"/>
      </rPr>
      <t>2+</t>
    </r>
  </si>
  <si>
    <r>
      <t>Mg</t>
    </r>
    <r>
      <rPr>
        <b/>
        <vertAlign val="superscript"/>
        <sz val="12"/>
        <rFont val="Times New Roman"/>
        <family val="1"/>
        <charset val="238"/>
      </rPr>
      <t>2+</t>
    </r>
  </si>
  <si>
    <r>
      <t>SO</t>
    </r>
    <r>
      <rPr>
        <b/>
        <vertAlign val="subscript"/>
        <sz val="12"/>
        <rFont val="Times New Roman"/>
        <family val="1"/>
        <charset val="238"/>
      </rPr>
      <t>4</t>
    </r>
    <r>
      <rPr>
        <b/>
        <vertAlign val="superscript"/>
        <sz val="12"/>
        <rFont val="Times New Roman"/>
        <family val="1"/>
        <charset val="238"/>
      </rPr>
      <t>2-</t>
    </r>
  </si>
  <si>
    <r>
      <t>NH</t>
    </r>
    <r>
      <rPr>
        <b/>
        <vertAlign val="subscript"/>
        <sz val="8"/>
        <rFont val="Times New Roman"/>
        <family val="1"/>
        <charset val="238"/>
      </rPr>
      <t>4</t>
    </r>
    <r>
      <rPr>
        <b/>
        <vertAlign val="superscript"/>
        <sz val="8"/>
        <rFont val="Times New Roman"/>
        <family val="1"/>
        <charset val="238"/>
      </rPr>
      <t>+</t>
    </r>
    <r>
      <rPr>
        <b/>
        <sz val="8"/>
        <rFont val="Times New Roman"/>
        <family val="1"/>
        <charset val="238"/>
      </rPr>
      <t xml:space="preserve">
mg/L</t>
    </r>
  </si>
  <si>
    <r>
      <t>NO</t>
    </r>
    <r>
      <rPr>
        <b/>
        <vertAlign val="subscript"/>
        <sz val="8"/>
        <rFont val="Times New Roman"/>
        <family val="1"/>
        <charset val="238"/>
      </rPr>
      <t>3</t>
    </r>
    <r>
      <rPr>
        <b/>
        <vertAlign val="superscript"/>
        <sz val="8"/>
        <rFont val="Times New Roman"/>
        <family val="1"/>
        <charset val="238"/>
      </rPr>
      <t>-</t>
    </r>
    <r>
      <rPr>
        <b/>
        <sz val="8"/>
        <rFont val="Times New Roman"/>
        <family val="1"/>
        <charset val="238"/>
      </rPr>
      <t xml:space="preserve">
mg/L</t>
    </r>
  </si>
  <si>
    <r>
      <t>NO</t>
    </r>
    <r>
      <rPr>
        <b/>
        <vertAlign val="subscript"/>
        <sz val="8"/>
        <rFont val="Times New Roman"/>
        <family val="1"/>
        <charset val="238"/>
      </rPr>
      <t>2</t>
    </r>
    <r>
      <rPr>
        <b/>
        <vertAlign val="superscript"/>
        <sz val="8"/>
        <rFont val="Times New Roman"/>
        <family val="1"/>
        <charset val="238"/>
      </rPr>
      <t>-</t>
    </r>
    <r>
      <rPr>
        <b/>
        <sz val="8"/>
        <rFont val="Times New Roman"/>
        <family val="1"/>
        <charset val="238"/>
      </rPr>
      <t xml:space="preserve">
mg/L</t>
    </r>
  </si>
  <si>
    <t>Fe
mg/L</t>
  </si>
  <si>
    <r>
      <t>Cl</t>
    </r>
    <r>
      <rPr>
        <b/>
        <vertAlign val="superscript"/>
        <sz val="8"/>
        <rFont val="Times New Roman"/>
        <family val="1"/>
        <charset val="238"/>
      </rPr>
      <t>-</t>
    </r>
    <r>
      <rPr>
        <b/>
        <sz val="8"/>
        <rFont val="Times New Roman"/>
        <family val="1"/>
        <charset val="238"/>
      </rPr>
      <t xml:space="preserve">
mg/L</t>
    </r>
  </si>
  <si>
    <r>
      <t>KOI</t>
    </r>
    <r>
      <rPr>
        <b/>
        <vertAlign val="subscript"/>
        <sz val="8"/>
        <rFont val="Times New Roman"/>
        <family val="1"/>
        <charset val="238"/>
      </rPr>
      <t>ps</t>
    </r>
    <r>
      <rPr>
        <b/>
        <sz val="8"/>
        <rFont val="Times New Roman"/>
        <family val="1"/>
        <charset val="238"/>
      </rPr>
      <t xml:space="preserve">
mg/L</t>
    </r>
  </si>
  <si>
    <r>
      <t>Ca</t>
    </r>
    <r>
      <rPr>
        <b/>
        <vertAlign val="superscript"/>
        <sz val="8"/>
        <rFont val="Times New Roman"/>
        <family val="1"/>
        <charset val="238"/>
      </rPr>
      <t>2+</t>
    </r>
    <r>
      <rPr>
        <b/>
        <sz val="8"/>
        <rFont val="Times New Roman"/>
        <family val="1"/>
        <charset val="238"/>
      </rPr>
      <t xml:space="preserve">
mg/L</t>
    </r>
  </si>
  <si>
    <r>
      <t>Mg</t>
    </r>
    <r>
      <rPr>
        <b/>
        <vertAlign val="superscript"/>
        <sz val="8"/>
        <rFont val="Times New Roman"/>
        <family val="1"/>
        <charset val="238"/>
      </rPr>
      <t>2+</t>
    </r>
    <r>
      <rPr>
        <b/>
        <sz val="8"/>
        <rFont val="Times New Roman"/>
        <family val="1"/>
        <charset val="238"/>
      </rPr>
      <t xml:space="preserve">
mg/L</t>
    </r>
  </si>
  <si>
    <r>
      <t>HCO</t>
    </r>
    <r>
      <rPr>
        <b/>
        <vertAlign val="subscript"/>
        <sz val="8"/>
        <rFont val="Times New Roman"/>
        <family val="1"/>
        <charset val="238"/>
      </rPr>
      <t>3</t>
    </r>
    <r>
      <rPr>
        <b/>
        <vertAlign val="superscript"/>
        <sz val="8"/>
        <rFont val="Times New Roman"/>
        <family val="1"/>
        <charset val="238"/>
      </rPr>
      <t>-</t>
    </r>
    <r>
      <rPr>
        <b/>
        <sz val="8"/>
        <rFont val="Times New Roman"/>
        <family val="1"/>
        <charset val="238"/>
      </rPr>
      <t xml:space="preserve">
mg/L</t>
    </r>
  </si>
  <si>
    <r>
      <t xml:space="preserve">hőmér-
séklet
</t>
    </r>
    <r>
      <rPr>
        <b/>
        <vertAlign val="superscript"/>
        <sz val="8"/>
        <rFont val="Times New Roman"/>
        <family val="1"/>
        <charset val="238"/>
      </rPr>
      <t>o</t>
    </r>
    <r>
      <rPr>
        <b/>
        <sz val="8"/>
        <rFont val="Times New Roman"/>
        <family val="1"/>
        <charset val="238"/>
      </rPr>
      <t>C</t>
    </r>
  </si>
  <si>
    <r>
      <t>SO</t>
    </r>
    <r>
      <rPr>
        <b/>
        <vertAlign val="subscript"/>
        <sz val="8"/>
        <rFont val="Times New Roman"/>
        <family val="1"/>
        <charset val="238"/>
      </rPr>
      <t>4</t>
    </r>
    <r>
      <rPr>
        <b/>
        <vertAlign val="superscript"/>
        <sz val="8"/>
        <rFont val="Times New Roman"/>
        <family val="1"/>
        <charset val="238"/>
      </rPr>
      <t>2-</t>
    </r>
    <r>
      <rPr>
        <b/>
        <sz val="8"/>
        <rFont val="Times New Roman"/>
        <family val="1"/>
        <charset val="238"/>
      </rPr>
      <t xml:space="preserve">
mg/L</t>
    </r>
  </si>
  <si>
    <t>QC1 (87/35)</t>
  </si>
  <si>
    <t>Mg QC megoldani, jelenleg törölve nyomtatásról és QC névből</t>
  </si>
  <si>
    <t>Max oszlop:</t>
  </si>
  <si>
    <t>Max sor</t>
  </si>
  <si>
    <t>megadott színű cella értékét törli!</t>
  </si>
  <si>
    <t>Mérésnapok</t>
  </si>
  <si>
    <t>U</t>
  </si>
  <si>
    <t>TERV</t>
  </si>
  <si>
    <t>igen</t>
  </si>
  <si>
    <t>modulkod</t>
  </si>
  <si>
    <t>felelos</t>
  </si>
  <si>
    <t>mvtipus</t>
  </si>
  <si>
    <t>labor</t>
  </si>
  <si>
    <t>Vízbázis, saját</t>
  </si>
  <si>
    <t>Megnevezés, saját</t>
  </si>
  <si>
    <t>mvhkod</t>
  </si>
  <si>
    <t>Hanságliget</t>
  </si>
  <si>
    <t>Darnózseli</t>
  </si>
  <si>
    <t>KUT</t>
  </si>
  <si>
    <t>Dunakiliti</t>
  </si>
  <si>
    <t>Feketeerdő</t>
  </si>
  <si>
    <t>EGYEB</t>
  </si>
  <si>
    <t>KÜLSŐS</t>
  </si>
  <si>
    <t>ismeretlen</t>
  </si>
  <si>
    <t>EGYÉB</t>
  </si>
  <si>
    <t>HUMVI modul</t>
  </si>
  <si>
    <t>HUMVI felelős</t>
  </si>
  <si>
    <t>AQUA Szolgáltató Korlátolt Felelősségű Társaság</t>
  </si>
  <si>
    <t>mvoka Egyéb</t>
  </si>
  <si>
    <t>mvoka KÓD</t>
  </si>
  <si>
    <t>Aqua Szolgáltató Kft. Vizsgáló-laboratórium</t>
  </si>
  <si>
    <t>vizsgálólabor</t>
  </si>
  <si>
    <t>mintavétel oka</t>
  </si>
  <si>
    <t>KONT</t>
  </si>
  <si>
    <t>EGY</t>
  </si>
  <si>
    <t>ADATOT BEÍRNI</t>
  </si>
  <si>
    <t>Minta</t>
  </si>
  <si>
    <t>HUMVI
modul</t>
  </si>
  <si>
    <t>kód</t>
  </si>
  <si>
    <t>leírás</t>
  </si>
  <si>
    <t>külsős minta</t>
  </si>
  <si>
    <t>Mintavevő</t>
  </si>
  <si>
    <t>Minta jellege</t>
  </si>
  <si>
    <t>KIV</t>
  </si>
  <si>
    <t>minta jellege</t>
  </si>
  <si>
    <t>Akkr. Mintavétel</t>
  </si>
  <si>
    <t>nem</t>
  </si>
  <si>
    <t>Megrendelő</t>
  </si>
  <si>
    <t>MINTANÉV 
további munkalapokra</t>
  </si>
  <si>
    <t>MINTAVÉTEL</t>
  </si>
  <si>
    <t xml:space="preserve">AQUA Szolgáltató Kft.
Vizsgálólaboratórium
</t>
  </si>
  <si>
    <t>Kiadás: 1</t>
  </si>
  <si>
    <t>Mintavételi hely</t>
  </si>
  <si>
    <t>Mintavétel vége</t>
  </si>
  <si>
    <t>Átvevő</t>
  </si>
  <si>
    <t>Oldal: 1/1</t>
  </si>
  <si>
    <t>Mintavétel</t>
  </si>
  <si>
    <t>kezdete</t>
  </si>
  <si>
    <t>vége</t>
  </si>
  <si>
    <t>Mintavétel időtartama
(óra:perc)</t>
  </si>
  <si>
    <t>AQUA Szolgáltató Kft.
Vizsgálólaboratórium</t>
  </si>
  <si>
    <r>
      <rPr>
        <sz val="14"/>
        <rFont val="Calibri"/>
        <family val="2"/>
        <charset val="238"/>
        <scheme val="minor"/>
      </rPr>
      <t>Formanyomtatvány</t>
    </r>
    <r>
      <rPr>
        <b/>
        <sz val="14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Összesítő jegyzőkönyv</t>
    </r>
    <r>
      <rPr>
        <b/>
        <sz val="14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ivóvíz laboratórium</t>
    </r>
  </si>
  <si>
    <t>Azonosító: MF-014</t>
  </si>
  <si>
    <t>Azonosító: MF-015</t>
  </si>
  <si>
    <r>
      <t>Formanyomtatvány</t>
    </r>
    <r>
      <rPr>
        <b/>
        <sz val="14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 xml:space="preserve">Ammónium-ion
</t>
    </r>
    <r>
      <rPr>
        <b/>
        <sz val="12"/>
        <rFont val="Calibri"/>
        <family val="2"/>
        <charset val="238"/>
        <scheme val="minor"/>
      </rPr>
      <t xml:space="preserve"> </t>
    </r>
    <r>
      <rPr>
        <sz val="12"/>
        <rFont val="Calibri"/>
        <family val="2"/>
        <charset val="238"/>
        <scheme val="minor"/>
      </rPr>
      <t>MSZ ISO 7150-1:1992
ivóvíz laboratórium; vizsgálati lap</t>
    </r>
  </si>
  <si>
    <t>Azonosító: MF-016</t>
  </si>
  <si>
    <t>Azonosító: MF-017</t>
  </si>
  <si>
    <t>Azonosító: MF-018</t>
  </si>
  <si>
    <t>Azonosító: MF-019</t>
  </si>
  <si>
    <t>Azonosító: MF-020</t>
  </si>
  <si>
    <t>Azonosító: MF-021</t>
  </si>
  <si>
    <t>Oldal: 1/2</t>
  </si>
  <si>
    <t>Azonosító: MF-022</t>
  </si>
  <si>
    <t>Azonosító: MF-023</t>
  </si>
  <si>
    <t>Azonosító: MF-024</t>
  </si>
  <si>
    <t>Azonosító: MF-025</t>
  </si>
  <si>
    <r>
      <t>Formanyomtatvány</t>
    </r>
    <r>
      <rPr>
        <b/>
        <sz val="14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Nitrátion</t>
    </r>
    <r>
      <rPr>
        <b/>
        <sz val="14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1484-13:2009 (5.2 szakasz)
ivóvíz laboratórium; vizsgálati lap</t>
    </r>
  </si>
  <si>
    <r>
      <t>Formanyomtatvány</t>
    </r>
    <r>
      <rPr>
        <b/>
        <sz val="14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Nitrition</t>
    </r>
    <r>
      <rPr>
        <b/>
        <sz val="14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1484-13:2009 6.2 szakasz 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</si>
  <si>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Összes vas</t>
    </r>
    <r>
      <rPr>
        <b/>
        <sz val="12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448-4:1983 (visszavont szabvány)
ivóvíz laboratórium; vizsgálati lap</t>
    </r>
  </si>
  <si>
    <r>
      <rPr>
        <sz val="14"/>
        <rFont val="Calibri"/>
        <family val="2"/>
        <charset val="238"/>
        <scheme val="minor"/>
      </rPr>
      <t>Formanyomtatvány</t>
    </r>
    <r>
      <rPr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pH, fajlagos elektromos vezetőképesség, hőmérséklet</t>
    </r>
    <r>
      <rPr>
        <sz val="12"/>
        <rFont val="Calibri"/>
        <family val="2"/>
        <charset val="238"/>
        <scheme val="minor"/>
      </rPr>
      <t xml:space="preserve">
MSZ 1484-22:2009 8. fejezet; MSZ EN 27888:1998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</si>
  <si>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Összes mangán</t>
    </r>
    <r>
      <rPr>
        <b/>
        <sz val="12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1484-2:1993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</si>
  <si>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Kémiai oxigénigény, KOIps</t>
    </r>
    <r>
      <rPr>
        <b/>
        <sz val="12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448-20:1990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</si>
  <si>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 xml:space="preserve">pH, fajlagos elektromos vezetőképesség, hőmérséklet
</t>
    </r>
    <r>
      <rPr>
        <sz val="12"/>
        <rFont val="Calibri"/>
        <family val="2"/>
        <charset val="238"/>
        <scheme val="minor"/>
      </rPr>
      <t>MSZ 1484-22:2009 8. fejezet; MSZ EN 27888:1998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</si>
  <si>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Kloridion</t>
    </r>
    <r>
      <rPr>
        <b/>
        <sz val="12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1484-15:2009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</si>
  <si>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Összes keménység</t>
    </r>
    <r>
      <rPr>
        <b/>
        <sz val="12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448-21:1986 3.fejezet
ivóvíz laboratórium; vizsgálati lap</t>
    </r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</si>
  <si>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>Szulfátion</t>
    </r>
    <r>
      <rPr>
        <b/>
        <sz val="12"/>
        <rFont val="Calibri"/>
        <family val="2"/>
        <charset val="238"/>
        <scheme val="minor"/>
      </rPr>
      <t xml:space="preserve">
</t>
    </r>
    <r>
      <rPr>
        <sz val="12"/>
        <rFont val="Calibri"/>
        <family val="2"/>
        <charset val="238"/>
        <scheme val="minor"/>
      </rPr>
      <t>MSZ 448-13:1983 5. fejezet
ivóvíz laboratórium; vizsgálati lap</t>
    </r>
  </si>
  <si>
    <t>Azonosító: MF-008</t>
  </si>
  <si>
    <r>
      <t>Formanyomtatvány</t>
    </r>
    <r>
      <rPr>
        <b/>
        <sz val="12"/>
        <rFont val="Calibri"/>
        <family val="2"/>
        <charset val="238"/>
        <scheme val="minor"/>
      </rPr>
      <t xml:space="preserve">
</t>
    </r>
    <r>
      <rPr>
        <b/>
        <sz val="18"/>
        <rFont val="Calibri"/>
        <family val="2"/>
        <charset val="238"/>
        <scheme val="minor"/>
      </rPr>
      <t xml:space="preserve">Lúgosság
</t>
    </r>
    <r>
      <rPr>
        <sz val="12"/>
        <rFont val="Calibri"/>
        <family val="2"/>
        <charset val="238"/>
        <scheme val="minor"/>
      </rPr>
      <t>MSZ 448-11:1986 5.1 szakasz; 
ivóvíz laboratórium; vizsgálati lap</t>
    </r>
  </si>
  <si>
    <t>A1-től megadott sor/oszlopig minden</t>
  </si>
  <si>
    <t>MINTA ADATAI</t>
  </si>
  <si>
    <t>HUMVI
feltöltve</t>
  </si>
  <si>
    <t>HUMVI 
modul</t>
  </si>
  <si>
    <t>Felelős</t>
  </si>
  <si>
    <t>????</t>
  </si>
  <si>
    <t>Mintavétel
dátuma</t>
  </si>
  <si>
    <t>Vizsgálólabor</t>
  </si>
  <si>
    <t>Mintavétel oka</t>
  </si>
  <si>
    <t>Mintavétel helye</t>
  </si>
  <si>
    <t>Mintavétel módja</t>
  </si>
  <si>
    <t>ANTSZ
jegyzőkönyv
minősítés</t>
  </si>
  <si>
    <t>SAJÁT
vizsgálat csoport</t>
  </si>
  <si>
    <t>KÓD</t>
  </si>
  <si>
    <t>Egyéb</t>
  </si>
  <si>
    <t>ellenőrzés</t>
  </si>
  <si>
    <t>Akkreditált</t>
  </si>
  <si>
    <t>labormintakod</t>
  </si>
  <si>
    <t>mvdatum</t>
  </si>
  <si>
    <t>mvoka</t>
  </si>
  <si>
    <t>TARTALÉK</t>
  </si>
  <si>
    <t>Coliformszám</t>
  </si>
  <si>
    <t>Escherichia coli</t>
  </si>
  <si>
    <t>Enterococcus száma</t>
  </si>
  <si>
    <t>Pseudomonas aeruginosa száma</t>
  </si>
  <si>
    <t>Szeszton(üledék)mennyisége</t>
  </si>
  <si>
    <t>Vas és mangán baktériumok</t>
  </si>
  <si>
    <t>Kénbaktériumok</t>
  </si>
  <si>
    <t>Szennyezetség jelző baktériumok</t>
  </si>
  <si>
    <t>Cianobaktériumok és algák száma</t>
  </si>
  <si>
    <t>Gombák</t>
  </si>
  <si>
    <t>Házas amőbák</t>
  </si>
  <si>
    <t>Egyéb véglények</t>
  </si>
  <si>
    <t>Nematoda</t>
  </si>
  <si>
    <t>Egyéb férgek</t>
  </si>
  <si>
    <t>Egyéb(gerinctelen)szervezetek</t>
  </si>
  <si>
    <t>Jellemző szervezetek</t>
  </si>
  <si>
    <t>Ammónium</t>
  </si>
  <si>
    <t>Nitrát</t>
  </si>
  <si>
    <t>Nitrit</t>
  </si>
  <si>
    <t>Vas</t>
  </si>
  <si>
    <t>Mangán</t>
  </si>
  <si>
    <t>Permanganátos kémiai oxigénigény (KOIps)</t>
  </si>
  <si>
    <t>Összes keménység</t>
  </si>
  <si>
    <t>m-lúg.</t>
  </si>
  <si>
    <t>Víz hőmérséklet</t>
  </si>
  <si>
    <t>Szulfát</t>
  </si>
  <si>
    <t>HCO3-</t>
  </si>
  <si>
    <t>Fluorid</t>
  </si>
  <si>
    <t>Bór</t>
  </si>
  <si>
    <t>Nátrium</t>
  </si>
  <si>
    <t>Kálium</t>
  </si>
  <si>
    <t>Oldott orto-foszfát</t>
  </si>
  <si>
    <t>Oldott oxigén</t>
  </si>
  <si>
    <t>Összes Cianid</t>
  </si>
  <si>
    <t>Fenolindex</t>
  </si>
  <si>
    <t>Anionaktív-detergens</t>
  </si>
  <si>
    <t>Antimon</t>
  </si>
  <si>
    <t>Kadmium</t>
  </si>
  <si>
    <t>Arzén</t>
  </si>
  <si>
    <t>Króm</t>
  </si>
  <si>
    <t>Réz</t>
  </si>
  <si>
    <t>Ólom</t>
  </si>
  <si>
    <t>Higany</t>
  </si>
  <si>
    <t>Nikkel</t>
  </si>
  <si>
    <t>Szelén</t>
  </si>
  <si>
    <t>Aluminium</t>
  </si>
  <si>
    <t>Trícium, dúsítással</t>
  </si>
  <si>
    <t>Radon (Rn222)</t>
  </si>
  <si>
    <t>Összes alfa-sugárzás</t>
  </si>
  <si>
    <t>Összes béta-sugárzás</t>
  </si>
  <si>
    <t>Összes alifás szénhidrogén (TPH C5-C40)</t>
  </si>
  <si>
    <t>Acetoklór</t>
  </si>
  <si>
    <t>Propaklór</t>
  </si>
  <si>
    <t>2,4-D</t>
  </si>
  <si>
    <t>Atrazin</t>
  </si>
  <si>
    <t>gamma-HCH</t>
  </si>
  <si>
    <t>Malation</t>
  </si>
  <si>
    <t>MCPA</t>
  </si>
  <si>
    <t>Metil-paration</t>
  </si>
  <si>
    <t>Simazin</t>
  </si>
  <si>
    <t>2,4,5-T</t>
  </si>
  <si>
    <t>2,4'-DDT</t>
  </si>
  <si>
    <t>4,4'-DDT</t>
  </si>
  <si>
    <t>2,4'-DDD</t>
  </si>
  <si>
    <t>4,4'-DDD</t>
  </si>
  <si>
    <t>2,4'-DDE</t>
  </si>
  <si>
    <t>4,4'-DDE</t>
  </si>
  <si>
    <t>Dezetil-atrazin</t>
  </si>
  <si>
    <t>Diazinon</t>
  </si>
  <si>
    <t>Hexaklórbenzol</t>
  </si>
  <si>
    <t>Dezizopropil-atrazin</t>
  </si>
  <si>
    <t>Endrin</t>
  </si>
  <si>
    <t>Forát</t>
  </si>
  <si>
    <t>Hexazinon</t>
  </si>
  <si>
    <t>Klórpirifosz</t>
  </si>
  <si>
    <t>Metribuzin</t>
  </si>
  <si>
    <t>Prometrin</t>
  </si>
  <si>
    <t>Propazin</t>
  </si>
  <si>
    <t>Terbutilazin</t>
  </si>
  <si>
    <t>Terbutrin</t>
  </si>
  <si>
    <t>Heptaklór</t>
  </si>
  <si>
    <t>Heptaklór-epoxid</t>
  </si>
  <si>
    <t>alfa-Endoszulfán</t>
  </si>
  <si>
    <t>béta-Endoszulfán</t>
  </si>
  <si>
    <t>Endoszulfán-szulfát</t>
  </si>
  <si>
    <t>Aldrin</t>
  </si>
  <si>
    <t>Metolaklór</t>
  </si>
  <si>
    <t>Bentazon</t>
  </si>
  <si>
    <t>Pendimetalin</t>
  </si>
  <si>
    <t>Dieldrin</t>
  </si>
  <si>
    <t>Dikamba</t>
  </si>
  <si>
    <t>AMPA</t>
  </si>
  <si>
    <t>alfa-HCH</t>
  </si>
  <si>
    <t>béta-HCH</t>
  </si>
  <si>
    <t>delta-HCH</t>
  </si>
  <si>
    <t>Dimeténamid</t>
  </si>
  <si>
    <t>Glifozát</t>
  </si>
  <si>
    <t>Klórtalonil</t>
  </si>
  <si>
    <t>Tebukonazol</t>
  </si>
  <si>
    <t>metazaklór</t>
  </si>
  <si>
    <t>DEET</t>
  </si>
  <si>
    <t>összes növényvédőszer</t>
  </si>
  <si>
    <t>Cisz-1,2-Diklór-Etilén</t>
  </si>
  <si>
    <t>Kloroform</t>
  </si>
  <si>
    <t>1,2-Diklór-Etán</t>
  </si>
  <si>
    <t>Tetraklór-Etilén és Triklór Etilén</t>
  </si>
  <si>
    <t>Bróm-Diklór-Metán</t>
  </si>
  <si>
    <t>Dibróm-Klór-Metán</t>
  </si>
  <si>
    <t>Bromoform</t>
  </si>
  <si>
    <t>Összes Trihalo-Metán</t>
  </si>
  <si>
    <t>Benzol</t>
  </si>
  <si>
    <t>Naftalin</t>
  </si>
  <si>
    <t>1-Metil-Nafatalin</t>
  </si>
  <si>
    <t>2-Metil-Naftalin</t>
  </si>
  <si>
    <t>Acenaftilén</t>
  </si>
  <si>
    <t>Acetaftén</t>
  </si>
  <si>
    <t>Fluorén</t>
  </si>
  <si>
    <t>Fenantrén</t>
  </si>
  <si>
    <t>Antracén</t>
  </si>
  <si>
    <t>Fluorantén</t>
  </si>
  <si>
    <t>Pirén</t>
  </si>
  <si>
    <t>Benz(a)antracén</t>
  </si>
  <si>
    <t>Kirzén</t>
  </si>
  <si>
    <t>Benz(b)fluorantén</t>
  </si>
  <si>
    <t>Benz(k)fluorantén</t>
  </si>
  <si>
    <t>Benz(e)pirén</t>
  </si>
  <si>
    <t>Benz(a)pirén</t>
  </si>
  <si>
    <t>indeno(1,2,3-cd)pirén</t>
  </si>
  <si>
    <t>Dibenz(a,h)antracén</t>
  </si>
  <si>
    <t>Benz(g,h,i)perilén</t>
  </si>
  <si>
    <t>Policiklusos aromás szénhidrogének</t>
  </si>
  <si>
    <t>Propizoklór</t>
  </si>
  <si>
    <t>Trifluralin</t>
  </si>
  <si>
    <t>vege</t>
  </si>
  <si>
    <t>Szabvány TÖRÖLVE, NEM EGYSÉGES</t>
  </si>
  <si>
    <t>0</t>
  </si>
  <si>
    <t>nincs szokatlan változás</t>
  </si>
  <si>
    <t>2x10^4</t>
  </si>
  <si>
    <t>5x10^3</t>
  </si>
  <si>
    <t>0,5</t>
  </si>
  <si>
    <t>50</t>
  </si>
  <si>
    <t>200</t>
  </si>
  <si>
    <t>250</t>
  </si>
  <si>
    <t>5,0</t>
  </si>
  <si>
    <t>50 és 350 között</t>
  </si>
  <si>
    <t>6,5 és 9,5 között</t>
  </si>
  <si>
    <t>2500</t>
  </si>
  <si>
    <t>elfogadható, szokatlan változás nélkül</t>
  </si>
  <si>
    <t>elfogadható</t>
  </si>
  <si>
    <t>nincs meghatározva</t>
  </si>
  <si>
    <t>10</t>
  </si>
  <si>
    <t>25</t>
  </si>
  <si>
    <t>5</t>
  </si>
  <si>
    <t>1,0</t>
  </si>
  <si>
    <t>20</t>
  </si>
  <si>
    <t>0,030</t>
  </si>
  <si>
    <t>0,50</t>
  </si>
  <si>
    <t>3,0</t>
  </si>
  <si>
    <t>0,01</t>
  </si>
  <si>
    <t>parkod</t>
  </si>
  <si>
    <t>COLIFORM</t>
  </si>
  <si>
    <t>ECOLI</t>
  </si>
  <si>
    <t>TELEP22</t>
  </si>
  <si>
    <t>ENTERO</t>
  </si>
  <si>
    <t>TELEP37</t>
  </si>
  <si>
    <t>PSEUDO</t>
  </si>
  <si>
    <t>CLOSTRIDIUM</t>
  </si>
  <si>
    <t>ULEDEK</t>
  </si>
  <si>
    <t>FE-MN_BAKT</t>
  </si>
  <si>
    <t>KENBAKT</t>
  </si>
  <si>
    <t>BAKTERIUM</t>
  </si>
  <si>
    <t>ALGACIANO</t>
  </si>
  <si>
    <t>GOMBAK</t>
  </si>
  <si>
    <t>HAZASAMOBA</t>
  </si>
  <si>
    <t>VEGLENY</t>
  </si>
  <si>
    <t>NEMATODA</t>
  </si>
  <si>
    <t>FERGEK</t>
  </si>
  <si>
    <t>EGYEBSZERV</t>
  </si>
  <si>
    <t>JELLSZERV</t>
  </si>
  <si>
    <t>AMMONIUM</t>
  </si>
  <si>
    <t>NITRAT</t>
  </si>
  <si>
    <t>NITRIT</t>
  </si>
  <si>
    <t>VAS</t>
  </si>
  <si>
    <t>MANGAN</t>
  </si>
  <si>
    <t>KLORID</t>
  </si>
  <si>
    <t>OSSZKEM</t>
  </si>
  <si>
    <t>KALCIUM</t>
  </si>
  <si>
    <t>MAGNEZIUM</t>
  </si>
  <si>
    <t>M_LUG</t>
  </si>
  <si>
    <t>VEZKEP</t>
  </si>
  <si>
    <t>VIZHOM</t>
  </si>
  <si>
    <t>SZULFAT</t>
  </si>
  <si>
    <t>ZAVAROSSAGM</t>
  </si>
  <si>
    <t>SZIN</t>
  </si>
  <si>
    <t>SZAG</t>
  </si>
  <si>
    <t>IZ</t>
  </si>
  <si>
    <t>FLUORID</t>
  </si>
  <si>
    <t>BOR</t>
  </si>
  <si>
    <t>NATRIUM</t>
  </si>
  <si>
    <t>KALIUM</t>
  </si>
  <si>
    <t>ORTOFOSZF</t>
  </si>
  <si>
    <t>OLDOX</t>
  </si>
  <si>
    <t>CIANID</t>
  </si>
  <si>
    <t>FENOLINDEX</t>
  </si>
  <si>
    <t>ANADET</t>
  </si>
  <si>
    <t>AOX</t>
  </si>
  <si>
    <t>ANTIMON</t>
  </si>
  <si>
    <t>KADMIUM</t>
  </si>
  <si>
    <t>ARZEN</t>
  </si>
  <si>
    <t>KROM</t>
  </si>
  <si>
    <t>REZ</t>
  </si>
  <si>
    <t>OLOM</t>
  </si>
  <si>
    <t>HG</t>
  </si>
  <si>
    <t>NIKKEL</t>
  </si>
  <si>
    <t>SZELEN</t>
  </si>
  <si>
    <t>ALUMINIUM</t>
  </si>
  <si>
    <t>TRICIUM</t>
  </si>
  <si>
    <t>RADON</t>
  </si>
  <si>
    <t>OSSZESALFA</t>
  </si>
  <si>
    <t>OSSZESBETA</t>
  </si>
  <si>
    <t>TPH</t>
  </si>
  <si>
    <t>ACETOKLOR</t>
  </si>
  <si>
    <t>PROPAKLOR</t>
  </si>
  <si>
    <t>2_4_D</t>
  </si>
  <si>
    <t>ATRAZIN</t>
  </si>
  <si>
    <t>GAMMA-LINDAN</t>
  </si>
  <si>
    <t>MALATION</t>
  </si>
  <si>
    <t>METILPARATION</t>
  </si>
  <si>
    <t>SIMAZIN</t>
  </si>
  <si>
    <t>2_4_5_T</t>
  </si>
  <si>
    <t>O,P-DDT</t>
  </si>
  <si>
    <t>P,P-DDT</t>
  </si>
  <si>
    <t>O,P-DDD</t>
  </si>
  <si>
    <t>P,P-DDD</t>
  </si>
  <si>
    <t>O,P-DDE</t>
  </si>
  <si>
    <t>P,P-DDE</t>
  </si>
  <si>
    <t>DEZE-ATRAZIN</t>
  </si>
  <si>
    <t>DIAZINON</t>
  </si>
  <si>
    <t>HEXACLBENZOL</t>
  </si>
  <si>
    <t>DEZIZOPRATRAZIN</t>
  </si>
  <si>
    <t>ENDRIN</t>
  </si>
  <si>
    <t>FORAT</t>
  </si>
  <si>
    <t>HEXAZINON</t>
  </si>
  <si>
    <t>CLPIRIFOSZ</t>
  </si>
  <si>
    <t>METRIBUZIN</t>
  </si>
  <si>
    <t>PROMETRIN</t>
  </si>
  <si>
    <t>PROPAZIN</t>
  </si>
  <si>
    <t>TERBUTILAZIN</t>
  </si>
  <si>
    <t>TERBUTRIN</t>
  </si>
  <si>
    <t>HEPTAKLOR</t>
  </si>
  <si>
    <t>HEPTACLEPOXID</t>
  </si>
  <si>
    <t>ENDOSZULFAN1</t>
  </si>
  <si>
    <t>ENDOSZULFAN2</t>
  </si>
  <si>
    <t>ENDOSZULFANSZUL</t>
  </si>
  <si>
    <t>ALDRIN</t>
  </si>
  <si>
    <t>METOLAKLOR</t>
  </si>
  <si>
    <t>BENTAZON</t>
  </si>
  <si>
    <t>PENDIMETAL</t>
  </si>
  <si>
    <t>DIELDRIN</t>
  </si>
  <si>
    <t>DIKAMBA</t>
  </si>
  <si>
    <t>ALFA-HCH</t>
  </si>
  <si>
    <t>BETA-HCH</t>
  </si>
  <si>
    <t>DELTA-HCH</t>
  </si>
  <si>
    <t>DIMETENAMID-P</t>
  </si>
  <si>
    <t>GLIFOZAT</t>
  </si>
  <si>
    <t>KLORTALONIL</t>
  </si>
  <si>
    <t>TEBUKONAZOL</t>
  </si>
  <si>
    <t>METAZAKLOR</t>
  </si>
  <si>
    <t>OSSZPESZT</t>
  </si>
  <si>
    <t>CI12DICLETILEN</t>
  </si>
  <si>
    <t>KLOROFORM</t>
  </si>
  <si>
    <t>12DIKLORETAN</t>
  </si>
  <si>
    <t>TETRA_TRI_ETILEN</t>
  </si>
  <si>
    <t>BRDICLMETAN</t>
  </si>
  <si>
    <t>DIBRCLMETAN</t>
  </si>
  <si>
    <t>BROMOFORM</t>
  </si>
  <si>
    <t>THM</t>
  </si>
  <si>
    <t>BENZOL</t>
  </si>
  <si>
    <t>NAFTALIN</t>
  </si>
  <si>
    <t>1METILNAFTALIN</t>
  </si>
  <si>
    <t>2METILNAFTALIN</t>
  </si>
  <si>
    <t>ACENAFTILEN</t>
  </si>
  <si>
    <t>ACENAFTEN</t>
  </si>
  <si>
    <t>FLUOREN</t>
  </si>
  <si>
    <t>FENANTREN</t>
  </si>
  <si>
    <t>ANTRACEN</t>
  </si>
  <si>
    <t>FLUORANTEN</t>
  </si>
  <si>
    <t>PIREN</t>
  </si>
  <si>
    <t>BENZOAANTRACEN</t>
  </si>
  <si>
    <t>KRIZEN</t>
  </si>
  <si>
    <t>BENZBFLUORANTEN</t>
  </si>
  <si>
    <t>BENZKFLUORANTEN</t>
  </si>
  <si>
    <t>BENZO(E)PI</t>
  </si>
  <si>
    <t>BENZPIREN</t>
  </si>
  <si>
    <t>INDENO12CDPIR</t>
  </si>
  <si>
    <t>DIBENZOAHANTRACEN</t>
  </si>
  <si>
    <t>BENZGHIPEREN</t>
  </si>
  <si>
    <t>PAH</t>
  </si>
  <si>
    <t>PROPIZOKLOR</t>
  </si>
  <si>
    <t>TRIFLURALIN</t>
  </si>
  <si>
    <t>KERES</t>
  </si>
  <si>
    <t>100 mL-ben</t>
  </si>
  <si>
    <t>1 mL-ben</t>
  </si>
  <si>
    <t>ML/L</t>
  </si>
  <si>
    <t>/L</t>
  </si>
  <si>
    <t>MG/LO2</t>
  </si>
  <si>
    <t>mmol/l</t>
  </si>
  <si>
    <t>μS/cm</t>
  </si>
  <si>
    <t>Celsius-fok</t>
  </si>
  <si>
    <t>NTU</t>
  </si>
  <si>
    <t>µg/l</t>
  </si>
  <si>
    <t>megyseg</t>
  </si>
  <si>
    <t>/100ML</t>
  </si>
  <si>
    <t>/ML</t>
  </si>
  <si>
    <t>MG/L</t>
  </si>
  <si>
    <t>MG/LCAO</t>
  </si>
  <si>
    <t>MMOL/L</t>
  </si>
  <si>
    <t>MIKROS/CM</t>
  </si>
  <si>
    <t>C</t>
  </si>
  <si>
    <t>MIKROG/L</t>
  </si>
  <si>
    <t>BQ/L</t>
  </si>
  <si>
    <t>HUMVI tábla ellenőrzés</t>
  </si>
  <si>
    <t>SAJÁT vizsgálat csoport</t>
  </si>
  <si>
    <t>ures</t>
  </si>
  <si>
    <t>v02</t>
  </si>
  <si>
    <t>mintavételi hely lista pontosítása 2024 HUMVI mintakódokkal. Nem végleges!</t>
  </si>
  <si>
    <t>Megnevezés, RÖVID</t>
  </si>
  <si>
    <t>Megnevezés, teljes</t>
  </si>
  <si>
    <t>Dátum: 2024.01.02.</t>
  </si>
  <si>
    <t>Labor mérés:</t>
  </si>
  <si>
    <t>Helyszíni mérés:</t>
  </si>
  <si>
    <t>Laboratóriumi mérés</t>
  </si>
  <si>
    <t>Helyszíni mérés</t>
  </si>
  <si>
    <t>Kiadás: 2</t>
  </si>
  <si>
    <t>NaCO3(g):</t>
  </si>
  <si>
    <r>
      <rPr>
        <b/>
        <vertAlign val="superscript"/>
        <sz val="12"/>
        <rFont val="Times New Roman"/>
        <family val="1"/>
        <charset val="238"/>
      </rPr>
      <t>o</t>
    </r>
    <r>
      <rPr>
        <b/>
        <sz val="12"/>
        <rFont val="Times New Roman"/>
        <family val="1"/>
        <charset val="238"/>
      </rPr>
      <t>C</t>
    </r>
  </si>
  <si>
    <t>v03</t>
  </si>
  <si>
    <t>pH (MF 021) helyszíni és pH hőmérséklet megnevezés feltüntetése nyomtatási képen</t>
  </si>
  <si>
    <t>Hőmérsékletként mindig az első blokk adata jelenik meg összesítő jegyzőkönyvön</t>
  </si>
  <si>
    <t>Mintaátvétel dátuma</t>
  </si>
  <si>
    <t>dátuma</t>
  </si>
  <si>
    <t>Mintát
átvette</t>
  </si>
  <si>
    <t>Mintát
vette</t>
  </si>
  <si>
    <t>Átvétel
dátuma</t>
  </si>
  <si>
    <t>Akkr.
mintav.</t>
  </si>
  <si>
    <t>x</t>
  </si>
  <si>
    <t>Dátum: 2024.11.04.</t>
  </si>
  <si>
    <r>
      <t xml:space="preserve">Formanyomtatvány
</t>
    </r>
    <r>
      <rPr>
        <b/>
        <sz val="18"/>
        <rFont val="Calibri"/>
        <family val="2"/>
        <scheme val="minor"/>
      </rPr>
      <t>Mintavételi napló ivóvíz laboratórium</t>
    </r>
  </si>
  <si>
    <t>Pontminta</t>
  </si>
  <si>
    <t>Időarányos átlagminta</t>
  </si>
  <si>
    <t>Hozamarányos átlagminta</t>
  </si>
  <si>
    <t>I</t>
  </si>
  <si>
    <t>N</t>
  </si>
  <si>
    <t>Kifolyatás</t>
  </si>
  <si>
    <t>Alkalmazott mintavételi eszköz</t>
  </si>
  <si>
    <t>Részminták száma</t>
  </si>
  <si>
    <t>A minták közötti időtartam vagy hozam (perc vagy m3)</t>
  </si>
  <si>
    <t>A pontminta térfogata (ml)</t>
  </si>
  <si>
    <t>mintavételi edény</t>
  </si>
  <si>
    <t>mintavételi edény, üveg</t>
  </si>
  <si>
    <t>mintavételi edény, műanyag</t>
  </si>
  <si>
    <t>mintavételi edény, üveg + műanyag</t>
  </si>
  <si>
    <t>mintavételi edény, vizsgálólaboratórium által biztosított</t>
  </si>
  <si>
    <t>mintavételi edény, barna üveg</t>
  </si>
  <si>
    <t>mintavételi edény, barna üveg + műanyag</t>
  </si>
  <si>
    <t>Akk. Mintavétel</t>
  </si>
  <si>
    <t>Mintavételi jegyzőkönyv ivóvízhez</t>
  </si>
  <si>
    <t>Mintavétel ideje:</t>
  </si>
  <si>
    <t>Vizsgált minta jellege:</t>
  </si>
  <si>
    <t>Mintavétel akkreditáltsága:</t>
  </si>
  <si>
    <t>Az ügyfél neve és címe:</t>
  </si>
  <si>
    <t>Ügyfél neve</t>
  </si>
  <si>
    <t>Ügyfél címe</t>
  </si>
  <si>
    <t>Helyszín:</t>
  </si>
  <si>
    <t xml:space="preserve">Mintavételi módszerek (szabványszám): </t>
  </si>
  <si>
    <t>IVÓVÍZ mintavétel:</t>
  </si>
  <si>
    <t>MSZ EN ISO 5667-3:2018</t>
  </si>
  <si>
    <t>MSZ 448-46:1988</t>
  </si>
  <si>
    <t>minták tartósítása, kezelése:</t>
  </si>
  <si>
    <t>Pontminta:</t>
  </si>
  <si>
    <t>Időarányos átlagminta:</t>
  </si>
  <si>
    <t>Hozamarányos átlagminta:</t>
  </si>
  <si>
    <t>Kifolyatás I/N:</t>
  </si>
  <si>
    <t>Vonatkozó mintavételi terv:</t>
  </si>
  <si>
    <t>2024. évi IV önellenőrzési terv</t>
  </si>
  <si>
    <t>mintavételi terv</t>
  </si>
  <si>
    <t>Vizsgálandó paraméterek</t>
  </si>
  <si>
    <t>Fajlagos elektromos vezetőképesség:</t>
  </si>
  <si>
    <t>Nitrit:</t>
  </si>
  <si>
    <t>Nitrát:</t>
  </si>
  <si>
    <t>Ammónium-ion:</t>
  </si>
  <si>
    <t>Mangán:</t>
  </si>
  <si>
    <r>
      <t>KOI</t>
    </r>
    <r>
      <rPr>
        <vertAlign val="subscript"/>
        <sz val="9"/>
        <color theme="1"/>
        <rFont val="Times New Roman"/>
        <family val="1"/>
        <charset val="238"/>
      </rPr>
      <t>ps</t>
    </r>
    <r>
      <rPr>
        <sz val="9"/>
        <color theme="1"/>
        <rFont val="Times New Roman"/>
        <family val="1"/>
        <charset val="238"/>
      </rPr>
      <t>:</t>
    </r>
  </si>
  <si>
    <t>pH:</t>
  </si>
  <si>
    <t>Zavarosság:</t>
  </si>
  <si>
    <t>Lúgosság:</t>
  </si>
  <si>
    <t>Szulfátion:</t>
  </si>
  <si>
    <t>Kloridion:</t>
  </si>
  <si>
    <t>Összes keménység:</t>
  </si>
  <si>
    <t>Kalcium:</t>
  </si>
  <si>
    <t>Magnézium:</t>
  </si>
  <si>
    <t>Összes vas:</t>
  </si>
  <si>
    <t>Hőmérséklet:</t>
  </si>
  <si>
    <t>Hidrogén-karbonát:</t>
  </si>
  <si>
    <t>Szín:</t>
  </si>
  <si>
    <t>Szag:</t>
  </si>
  <si>
    <t>Íz:</t>
  </si>
  <si>
    <t>Egyéb:</t>
  </si>
  <si>
    <t>Alkalmazott mintavételi eszköz:</t>
  </si>
  <si>
    <t>Részminták száma:</t>
  </si>
  <si>
    <r>
      <t>A minták közötti időtartam vagy hozam (perc vagy m</t>
    </r>
    <r>
      <rPr>
        <vertAlign val="superscript"/>
        <sz val="11"/>
        <color theme="1"/>
        <rFont val="Times New Roman"/>
        <family val="1"/>
        <charset val="238"/>
      </rPr>
      <t>3</t>
    </r>
    <r>
      <rPr>
        <sz val="11"/>
        <color theme="1"/>
        <rFont val="Times New Roman"/>
        <family val="1"/>
        <charset val="238"/>
      </rPr>
      <t>):</t>
    </r>
  </si>
  <si>
    <t>A pontminta térfogata (ml):</t>
  </si>
  <si>
    <t>Mintavétel kezdete és vége (dátum és időpont):</t>
  </si>
  <si>
    <t>Mintavétel kezdete (óra:perc)</t>
  </si>
  <si>
    <t>A helyszíni tartósítás módja:</t>
  </si>
  <si>
    <t>hűtés</t>
  </si>
  <si>
    <t>Helyszíni tartósítás módja</t>
  </si>
  <si>
    <t>kénsavval pH 1-2</t>
  </si>
  <si>
    <t>szűrés</t>
  </si>
  <si>
    <t>Helyszíni vizsgálatok és eredményeik:</t>
  </si>
  <si>
    <t>Megjegyzések, környezeti feltételek:</t>
  </si>
  <si>
    <t>A mintavevő neve:</t>
  </si>
  <si>
    <t>A mintavevő aláírása:</t>
  </si>
  <si>
    <t>AQUA Szolgáltató Kft.
VIZSGÁLÓLABORATÓRIUM
MOSONMAGYARÓVÁR 
külterület HRSZ 0226/2A</t>
  </si>
  <si>
    <t>Környezeti hőmérséklet</t>
  </si>
  <si>
    <t>Helyszíni hőmérséklet</t>
  </si>
  <si>
    <t>Helyszíni pH</t>
  </si>
  <si>
    <t>Helyszíni EC</t>
  </si>
  <si>
    <t>Helyszíni oxigén</t>
  </si>
  <si>
    <t>hőmérséklet</t>
  </si>
  <si>
    <r>
      <rPr>
        <b/>
        <vertAlign val="superscript"/>
        <sz val="11"/>
        <color theme="1"/>
        <rFont val="Times New Roman"/>
        <family val="1"/>
        <charset val="238"/>
      </rPr>
      <t>o</t>
    </r>
    <r>
      <rPr>
        <b/>
        <sz val="11"/>
        <color theme="1"/>
        <rFont val="Times New Roman"/>
        <family val="1"/>
        <charset val="238"/>
      </rPr>
      <t>C</t>
    </r>
  </si>
  <si>
    <t>Megjegyzés:</t>
  </si>
  <si>
    <t>például külső laborba szállítás</t>
  </si>
  <si>
    <t>VA</t>
  </si>
  <si>
    <t>GZS</t>
  </si>
  <si>
    <t>Rövidítés</t>
  </si>
  <si>
    <t>Vajas Annamária</t>
  </si>
  <si>
    <t>Giczi Zsolt</t>
  </si>
  <si>
    <t>Mintaazonosító</t>
  </si>
  <si>
    <t>szám:</t>
  </si>
  <si>
    <t>Mintát átvette</t>
  </si>
  <si>
    <t>(név, aláírás, dátum):</t>
  </si>
  <si>
    <t>EC:</t>
  </si>
  <si>
    <t>oldott oxigén:</t>
  </si>
  <si>
    <r>
      <rPr>
        <b/>
        <sz val="11"/>
        <color theme="1"/>
        <rFont val="Calibri"/>
        <family val="2"/>
        <charset val="238"/>
      </rPr>
      <t>µ</t>
    </r>
    <r>
      <rPr>
        <b/>
        <sz val="11"/>
        <color theme="1"/>
        <rFont val="Times New Roman"/>
        <family val="1"/>
        <charset val="238"/>
      </rPr>
      <t>S/cm</t>
    </r>
  </si>
  <si>
    <t>IVÓVÍZ mintavétel szabvány</t>
  </si>
  <si>
    <t>minták tartósítása, kezelése szabvány</t>
  </si>
  <si>
    <t>A NAH által NAH-1-1650/2019 számon akkreditált vizsgálólaboratórium.</t>
  </si>
  <si>
    <t>Oldott oxigén:</t>
  </si>
  <si>
    <t>KOIps:</t>
  </si>
  <si>
    <t>mlúg</t>
  </si>
  <si>
    <t>zav</t>
  </si>
  <si>
    <t>O2</t>
  </si>
  <si>
    <t>Paraméterekre választható értékek:</t>
  </si>
  <si>
    <t>salétromsavval pH 1-2, hűtés</t>
  </si>
  <si>
    <t>Ismeretlen</t>
  </si>
  <si>
    <t>v04</t>
  </si>
  <si>
    <t>A_bakter</t>
  </si>
  <si>
    <t>Escherichia coli (E. coli), Enterococcus bélbaktériumok, Coliform baktériumok, Telepszám 22 °C-on</t>
  </si>
  <si>
    <t>B1</t>
  </si>
  <si>
    <t>B1_fémek</t>
  </si>
  <si>
    <t>Antimon, Arzén, Króm, Nikkel, Ólom, Réz, Trihalometánok összesen</t>
  </si>
  <si>
    <t>B1_bakter</t>
  </si>
  <si>
    <t>Telepszám 37 °C-on, Clostridium perfringens, beleértve a spórákat is, Pseudomonas aeruginosa</t>
  </si>
  <si>
    <t>Mikroszkópos biológiai vizsgálat</t>
  </si>
  <si>
    <t>B1_fémek+THM</t>
  </si>
  <si>
    <t>B1_THM</t>
  </si>
  <si>
    <t>Trihalometánok összesen</t>
  </si>
  <si>
    <t>Antimon, Arzén, Króm, Nikkel, Ólom, Réz</t>
  </si>
  <si>
    <t>B2</t>
  </si>
  <si>
    <t>B2_szervetlen</t>
  </si>
  <si>
    <t>B2_szerves</t>
  </si>
  <si>
    <t>Benzol, Benz(a)pirén, cisz–1,2-diklór-etilén, 1,2-diklór-etán, Policiklusos aromás szénhidrogének, Tetraklór-etilén, Triklór-etilén</t>
  </si>
  <si>
    <t>Alumínium, Bór, Cianid, Fluorid, Higany, Nátrium, Szelén, Kálium, Kadmium</t>
  </si>
  <si>
    <t xml:space="preserve">Peszticidek, Trícium, Radon, Indikatív dózis, </t>
  </si>
  <si>
    <t>B2_Eurofins</t>
  </si>
  <si>
    <t>Teljes</t>
  </si>
  <si>
    <t>Kút_egyszerűsített</t>
  </si>
  <si>
    <t>Fe, Mn</t>
  </si>
  <si>
    <t>Kút_nagy</t>
  </si>
  <si>
    <t>Egyéb vizsgálatok:</t>
  </si>
  <si>
    <t>Dokumentum verziója:</t>
  </si>
  <si>
    <t>AQUA MK9.9/1-3</t>
  </si>
  <si>
    <t xml:space="preserve"> NAH-1-1650/2019</t>
  </si>
  <si>
    <t>Akkreditáció szám:</t>
  </si>
  <si>
    <t>Mintaátvétel</t>
  </si>
  <si>
    <t>Vizsgálat kezdete</t>
  </si>
  <si>
    <t>Vizsgálat vége</t>
  </si>
  <si>
    <t>Akkreditációs szám</t>
  </si>
  <si>
    <t>Coliform baktériumok</t>
  </si>
  <si>
    <t xml:space="preserve">Escherichia coli (E. coli) </t>
  </si>
  <si>
    <t>Telepszám 22°C-on</t>
  </si>
  <si>
    <t>Enterococcusok</t>
  </si>
  <si>
    <t>Telepszám 37°C-on</t>
  </si>
  <si>
    <t>Pseudomonas aeruginosa</t>
  </si>
  <si>
    <t>Clostridium perfringens (spórákkal együtt)</t>
  </si>
  <si>
    <t>Üledék mennyisége</t>
  </si>
  <si>
    <t>Vas- és mangánbaktériumok</t>
  </si>
  <si>
    <t>Szennyezettséget jelző baktériumok</t>
  </si>
  <si>
    <t>Algák és cianobaktériumok</t>
  </si>
  <si>
    <t>egyéb véglények</t>
  </si>
  <si>
    <t>Egyéb (gerinctelen) szervezetek</t>
  </si>
  <si>
    <t>Klorid</t>
  </si>
  <si>
    <t>Összes keménység CaO</t>
  </si>
  <si>
    <t>Kálcium</t>
  </si>
  <si>
    <t>Magnézium</t>
  </si>
  <si>
    <t>Lúgosság (m)</t>
  </si>
  <si>
    <t>Vezetőképesség</t>
  </si>
  <si>
    <t>Zavarosság műszeres</t>
  </si>
  <si>
    <t>Hidrogénkarbonát</t>
  </si>
  <si>
    <t>Ortofoszfát</t>
  </si>
  <si>
    <t>Cianid</t>
  </si>
  <si>
    <t>Összes adszorbeálható szerves halogén (AOX)</t>
  </si>
  <si>
    <t>Alumínium</t>
  </si>
  <si>
    <t>Trícium</t>
  </si>
  <si>
    <t>Radon</t>
  </si>
  <si>
    <t>Összes alfaaktivitás</t>
  </si>
  <si>
    <t>Összes bétaaktivitás</t>
  </si>
  <si>
    <t>Összes alifás szénhidrogén C5-C40 (TPH)</t>
  </si>
  <si>
    <t>2,4-diklór-fenoxi-ecetsav</t>
  </si>
  <si>
    <t>Hexaklór-benzol</t>
  </si>
  <si>
    <t>Klór-pirifosz</t>
  </si>
  <si>
    <t>Endoszulfán I</t>
  </si>
  <si>
    <t>Endoszulfán II</t>
  </si>
  <si>
    <t>Dimeténamid-p</t>
  </si>
  <si>
    <t>Metazaklór</t>
  </si>
  <si>
    <t>Összes peszticid</t>
  </si>
  <si>
    <t>Cisz-1,2-diklór-etilén</t>
  </si>
  <si>
    <t>1,2-diklór-etán</t>
  </si>
  <si>
    <t>Tetraklór-etilén + Triklór etilén</t>
  </si>
  <si>
    <t>Bróm-diklór-metán</t>
  </si>
  <si>
    <t>Dibróm-klór-metán</t>
  </si>
  <si>
    <t>Összes trihalo-metán</t>
  </si>
  <si>
    <t>1-metil-Naftalin</t>
  </si>
  <si>
    <t>2-metil-Naftalin</t>
  </si>
  <si>
    <t>Acenaftén</t>
  </si>
  <si>
    <t>Benzo(a)antracén</t>
  </si>
  <si>
    <t>Krizén</t>
  </si>
  <si>
    <t>Benzo(e)pirén</t>
  </si>
  <si>
    <t>Benzo(a)pirén</t>
  </si>
  <si>
    <t>Indeno(1,2,3-cd)pirén</t>
  </si>
  <si>
    <t>Dibenzo(a,h)antracén</t>
  </si>
  <si>
    <t>szám/100 ml</t>
  </si>
  <si>
    <t>szám/ml</t>
  </si>
  <si>
    <t>ml/l</t>
  </si>
  <si>
    <t>szám/l</t>
  </si>
  <si>
    <t>mg/l O2</t>
  </si>
  <si>
    <t>mg/l CaO</t>
  </si>
  <si>
    <t>µS/cm</t>
  </si>
  <si>
    <t>Bq/l</t>
  </si>
  <si>
    <t>mintavételi naplón mintaátvétel és mintavétel dátuma külön szerepel, mintavételi naplón szerepel akkr vagy nem akkr mintavétel; mintavételi jegyzőkönyv nyomtatása; pH lapon helyszíni és labor mérés szétválasztva; vizsgálati paramléterek kitöltésére javaslat vizsgálat csoport alapján; HUMVI export bővítése labor akkr. számmal, mintaátvétel valamint vizsgálat kezdete és vége dátumokkal;RESET kiterjesztése "Minták" munkalapra</t>
  </si>
  <si>
    <t>A+B1_saját</t>
  </si>
  <si>
    <t>A+B1_bakter</t>
  </si>
  <si>
    <t>Escherichia coli (E. coli), Enterococcus bélbaktériumok, Coliform baktériumok, Telepszám 22 °C-on, Telepszám 37 °C-on, Clostridium perfringens, beleértve a spórákat is, Pseudomonas aeruginosa</t>
  </si>
  <si>
    <t>B1_BIO</t>
  </si>
  <si>
    <t>A+B1_bakter+BIO</t>
  </si>
  <si>
    <t>Escherichia coli (E. coli), Enterococcus bélbaktériumok, Coliform baktériumok, Telepszám 22 °C-on, Telepszám 37 °C-on, Clostridium perfringens, beleértve a spórákat is, Pseudomonas aeruginosa, Mikroszkópos biológiai vizsgálat</t>
  </si>
  <si>
    <t>v05</t>
  </si>
  <si>
    <t>feltoltve</t>
  </si>
  <si>
    <t>ellenorzes</t>
  </si>
  <si>
    <t>ev</t>
  </si>
  <si>
    <t>negyedev</t>
  </si>
  <si>
    <t>nev</t>
  </si>
  <si>
    <t>Feltöltve</t>
  </si>
  <si>
    <t>vizsgalatkezdete</t>
  </si>
  <si>
    <t>vizsgalatvege</t>
  </si>
  <si>
    <t>mvokaegyeb</t>
  </si>
  <si>
    <t>vizbazis</t>
  </si>
  <si>
    <t>megnevezes</t>
  </si>
  <si>
    <t>mintavevo</t>
  </si>
  <si>
    <t>0,05</t>
  </si>
  <si>
    <t>0,2</t>
  </si>
  <si>
    <t>Vizsgált
komponens</t>
  </si>
  <si>
    <t>labakkrszam</t>
  </si>
  <si>
    <t>Eurofins Analytical Services Hungary Kft. Környezetanalitikai Laboratórium</t>
  </si>
  <si>
    <t>NAH-1-1398/2024</t>
  </si>
  <si>
    <t>Győr-Moson-Sopron Vármegyei Kormányhivatal Népegészségügyi Főosztály Laboratóriumi Osztály TEFONAZ Laboratórium</t>
  </si>
  <si>
    <t>NAH-1-1341/2019</t>
  </si>
  <si>
    <t>PANNON-VÍZ Zrt. Minőségvizsgáló Laboratórium</t>
  </si>
  <si>
    <t>NAH-1-1226/2021</t>
  </si>
  <si>
    <t>NAH-1-1650/2019</t>
  </si>
  <si>
    <t>mvakkrszam</t>
  </si>
  <si>
    <t>kódja</t>
  </si>
  <si>
    <t>akkr. száma</t>
  </si>
  <si>
    <t>Korábbi, már érvénytelen státuszok:</t>
  </si>
  <si>
    <t>Minták munkalapon Vizsgálat vége oszlop háttérszíne megváltoztatva, hogy RESET ne törölje képletet; HUMVI táblázat külön munkalapra átszervezve; kiegészítés mintavevő akkreditciós számmal, Vizsgálólabor és Mintavevő listák kiegészítése akkr. Számmal "Mintahelyek" munkalapon</t>
  </si>
  <si>
    <t>ENG</t>
  </si>
  <si>
    <t>Engedélyezés</t>
  </si>
  <si>
    <t>POT</t>
  </si>
  <si>
    <t>Pótminta</t>
  </si>
  <si>
    <t>Tervezett</t>
  </si>
  <si>
    <t>Kontroll</t>
  </si>
  <si>
    <t>PAN</t>
  </si>
  <si>
    <t>Panasz</t>
  </si>
  <si>
    <t>Jelenleg nem használt típusok:</t>
  </si>
  <si>
    <t>mg/LO2</t>
  </si>
  <si>
    <t>Bq/L</t>
  </si>
  <si>
    <t>Fajlagos elektromos vezetőképesség 20°C-on</t>
  </si>
  <si>
    <t>Adszorbeálható,szervesen kötött halogén(AOX)</t>
  </si>
  <si>
    <t>SZKENNELT</t>
  </si>
  <si>
    <t>mintaatvetel</t>
  </si>
  <si>
    <t>akkrmintavetel</t>
  </si>
  <si>
    <t>laborkódja</t>
  </si>
  <si>
    <t>szintelen</t>
  </si>
  <si>
    <t>szagtalan</t>
  </si>
  <si>
    <t>iztelen</t>
  </si>
  <si>
    <t>8351 Nhmzzmsdqh Nhhlz</t>
  </si>
  <si>
    <t>9605 Lcwvcl Ebnxscqc</t>
  </si>
  <si>
    <t>3086 Aaompjnhr Ubqpva</t>
  </si>
  <si>
    <t>7919 Jxbxjr Eouypz</t>
  </si>
  <si>
    <t>8270 Owijzsgzrpr Rkohqy</t>
  </si>
  <si>
    <t>2991 Jjdjhsp Vxhhmc</t>
  </si>
  <si>
    <t>8018 Mankscvx Msdxtl</t>
  </si>
  <si>
    <t>7065 Hwcflmoijro Qoldnt</t>
  </si>
  <si>
    <t>7136 Uovbwbhi Qnvptf</t>
  </si>
  <si>
    <t>3176 Swsvfdsfv Lebdoq</t>
  </si>
  <si>
    <t>3916 Vqhezdzow Askfua</t>
  </si>
  <si>
    <t>1730 Gpgmafj Mcsjny</t>
  </si>
  <si>
    <t>2993 Yhabayh Rskdom</t>
  </si>
  <si>
    <t>4856 Qbuvuiydc Jyhjzbmb</t>
  </si>
  <si>
    <t>5063 Obqprewfgny Blua</t>
  </si>
  <si>
    <t>5063 Obqprewfgny Iyehhrtn</t>
  </si>
  <si>
    <t>5063 Obqprewfgny Jpjipdiu</t>
  </si>
  <si>
    <t>5063 Obqprewfgny Yyryjs</t>
  </si>
  <si>
    <t>7209 Vtjfpjjf Abiqezfn</t>
  </si>
  <si>
    <t>3763 Svmhmsg Udrjlvtn</t>
  </si>
  <si>
    <t>3030 Eddumttll Hpxyyiwm</t>
  </si>
  <si>
    <t>4384 Bnscfq Saf</t>
  </si>
  <si>
    <t>3142 Hweeda Jog</t>
  </si>
  <si>
    <t>7862 Jhostgjitn Olh</t>
  </si>
  <si>
    <t>1830 Tpmjjsyouha Dmz</t>
  </si>
  <si>
    <t>3895 Nrihblyr Wjz</t>
  </si>
  <si>
    <t>8381 Anbncw Rhp</t>
  </si>
  <si>
    <t>6362 Kjgaur Jzz</t>
  </si>
  <si>
    <t>5933 Wfdfvk Hkwuyjet</t>
  </si>
  <si>
    <t>7185 Qees Ylfjulbd</t>
  </si>
  <si>
    <t>2003 Tsppqndjlce Llyjb</t>
  </si>
  <si>
    <t>7209 Vtjfpjjf Cblie</t>
  </si>
  <si>
    <t>8351 Nhmzzmsdqh Gkuah</t>
  </si>
  <si>
    <t>3763 Svmhmsg Ktjpz</t>
  </si>
  <si>
    <t>9605 Lcwvcl Tkkgn</t>
  </si>
  <si>
    <t>3086 Aaompjnhr Gpgxp</t>
  </si>
  <si>
    <t>7209 Vtjfpjjf Jylq</t>
  </si>
  <si>
    <t>8351 Nhmzzmsdqh Beau</t>
  </si>
  <si>
    <t>3763 Svmhmsg Cowc</t>
  </si>
  <si>
    <t>9605 Lcwvcl Fdep</t>
  </si>
  <si>
    <t>3086 Aaompjnhr Yztb</t>
  </si>
  <si>
    <t>7209 Vtjfpjjf Nblo</t>
  </si>
  <si>
    <t>8351 Nhmzzmsdqh Gvvhxu</t>
  </si>
  <si>
    <t>3763 Svmhmsg Sfpwou</t>
  </si>
  <si>
    <t>9605 Lcwvcl Oqnpdb</t>
  </si>
  <si>
    <t>3086 Aaompjnhr Ifgxeo</t>
  </si>
  <si>
    <t>7919 Jxbxjr Kxuqph</t>
  </si>
  <si>
    <t>8270 Owijzsgzrpr Fvhoeb</t>
  </si>
  <si>
    <t>2991 Jjdjhsp Ubnawl</t>
  </si>
  <si>
    <t>8018 Mankscvx Fenyyq</t>
  </si>
  <si>
    <t>7065 Hwcflmoijro Dmnxugl</t>
  </si>
  <si>
    <t>7136 Uovbwbhi Mfasuua</t>
  </si>
  <si>
    <t>3176 Swsvfdsfv Gctxosr</t>
  </si>
  <si>
    <t>7919 Jxbxjr Uwqnoao</t>
  </si>
  <si>
    <t>8270 Owijzsgzrpr Wxdufds</t>
  </si>
  <si>
    <t>2991 Jjdjhsp Ujapgrw</t>
  </si>
  <si>
    <t>8018 Mankscvx Pcynuzm</t>
  </si>
  <si>
    <t>7065 Hwcflmoijro Cgmgolxn</t>
  </si>
  <si>
    <t>7136 Uovbwbhi Nxwbaftx</t>
  </si>
  <si>
    <t>3176 Swsvfdsfv Msjx</t>
  </si>
  <si>
    <t>2991 Jjdjhsp Qgim</t>
  </si>
  <si>
    <t>8018 Mankscvx Yitaseuh</t>
  </si>
  <si>
    <t>2991 Jjdjhsp Rsybiw</t>
  </si>
  <si>
    <t>8018 Mankscvx Nyihjwd</t>
  </si>
  <si>
    <t>2991 Jjdjhsp Mybgp</t>
  </si>
  <si>
    <t>8018 Mankscvx Coliau</t>
  </si>
  <si>
    <t>2991 Jjdjhsp Zkcymkqx</t>
  </si>
  <si>
    <t>8018 Mankscvx Gbjfckjo</t>
  </si>
  <si>
    <t>2991 Jjdjhsp Wbbxxrcz</t>
  </si>
  <si>
    <t>8018 Mankscvx Xgfzbnap</t>
  </si>
  <si>
    <t>5063 Obqprewfgny Cjuehyfl</t>
  </si>
  <si>
    <t>5063 Obqprewfgny Oibllvpm</t>
  </si>
  <si>
    <t>3086 Aaompjnhr Bixbhxkr</t>
  </si>
  <si>
    <t>7209 Vtjfpjjf Xmskvxod</t>
  </si>
  <si>
    <t>8351 Nhmzzmsdqh Vaent</t>
  </si>
  <si>
    <t>3763 Svmhmsg Luqxxkzr</t>
  </si>
  <si>
    <t>9605 Lcwvcl Szzfhcau</t>
  </si>
  <si>
    <t>3086 Aaompjnhr Pxncc</t>
  </si>
  <si>
    <t>7209 Vtjfpjjf Fujyeuwm</t>
  </si>
  <si>
    <t>8351 Nhmzzmsdqh Vxuaavaj</t>
  </si>
  <si>
    <t>3763 Svmhmsg Idfkqlwk</t>
  </si>
  <si>
    <t>3086 Aaompjnhr Zctshhoe</t>
  </si>
  <si>
    <t>7209 Vtjfpjjf Wttffpi</t>
  </si>
  <si>
    <t>8351 Nhmzzmsdqh Plfurc</t>
  </si>
  <si>
    <t>3763 Svmhmsg Hyh</t>
  </si>
  <si>
    <t>9605 Lcwvcl Glsfaup</t>
  </si>
  <si>
    <t>3086 Aaompjnhr Pribf</t>
  </si>
  <si>
    <t>7209 Vtjfpjjf Epocjgt</t>
  </si>
  <si>
    <t>8351 Nhmzzmsdqh Nqzaxb</t>
  </si>
  <si>
    <t>3763 Svmhmsg Kubj</t>
  </si>
  <si>
    <t>9605 Lcwvcl Naxbq</t>
  </si>
  <si>
    <t>3086 Aaompjnhr Fmmpsw</t>
  </si>
  <si>
    <t>7919 Jxbxjr Hquuzt</t>
  </si>
  <si>
    <t>lLWVCL</t>
  </si>
  <si>
    <t>bNSCFQ</t>
  </si>
  <si>
    <t>Hweeda</t>
  </si>
  <si>
    <t>Tpmjjsyouha</t>
  </si>
  <si>
    <t>Blua</t>
  </si>
  <si>
    <t>Iyehhrtn</t>
  </si>
  <si>
    <t>Jpjipdiu</t>
  </si>
  <si>
    <t>Yyryjs</t>
  </si>
  <si>
    <t>Abiqezfn</t>
  </si>
  <si>
    <t>Nhhlz</t>
  </si>
  <si>
    <t>Udrjlvtn</t>
  </si>
  <si>
    <t>Ebnxscqc</t>
  </si>
  <si>
    <t>Ubqpva</t>
  </si>
  <si>
    <t>Eouypz</t>
  </si>
  <si>
    <t>Rkohqy</t>
  </si>
  <si>
    <t>Vxhhmc</t>
  </si>
  <si>
    <t>Msdxtl</t>
  </si>
  <si>
    <t>Qoldnt</t>
  </si>
  <si>
    <t>Qnvptf</t>
  </si>
  <si>
    <t>Lebdoq</t>
  </si>
  <si>
    <t>Askfua</t>
  </si>
  <si>
    <t>Mcsjny</t>
  </si>
  <si>
    <t>Rskdom</t>
  </si>
  <si>
    <t>Jyhjzbmb</t>
  </si>
  <si>
    <t>Hpxyyiwm</t>
  </si>
  <si>
    <t>Saf</t>
  </si>
  <si>
    <t>Jog</t>
  </si>
  <si>
    <t>Olh</t>
  </si>
  <si>
    <t>Dmz</t>
  </si>
  <si>
    <t>Wjz</t>
  </si>
  <si>
    <t>Rhp</t>
  </si>
  <si>
    <t>Jzz</t>
  </si>
  <si>
    <t>Hkwuyjet</t>
  </si>
  <si>
    <t>Ylfjulbd</t>
  </si>
  <si>
    <t>Llyjb</t>
  </si>
  <si>
    <t>Cblie</t>
  </si>
  <si>
    <t>Gkuah</t>
  </si>
  <si>
    <t>Ktjpz</t>
  </si>
  <si>
    <t>Tkkgn</t>
  </si>
  <si>
    <t>Gpgxp</t>
  </si>
  <si>
    <t>Jylq</t>
  </si>
  <si>
    <t>Beau</t>
  </si>
  <si>
    <t>Cowc</t>
  </si>
  <si>
    <t>Fdep</t>
  </si>
  <si>
    <t>Yztb</t>
  </si>
  <si>
    <t>Nblo</t>
  </si>
  <si>
    <t>Gvvhxu</t>
  </si>
  <si>
    <t>Sfpwou</t>
  </si>
  <si>
    <t>Oqnpdb</t>
  </si>
  <si>
    <t>Ifgxeo</t>
  </si>
  <si>
    <t>Kxuqph</t>
  </si>
  <si>
    <t>Fvhoeb</t>
  </si>
  <si>
    <t>Ubnawl</t>
  </si>
  <si>
    <t>Fenyyq</t>
  </si>
  <si>
    <t>Dmnxugl</t>
  </si>
  <si>
    <t>Mfasuua</t>
  </si>
  <si>
    <t>Gctxosr</t>
  </si>
  <si>
    <t>Uwqnoao</t>
  </si>
  <si>
    <t>Wxdufds</t>
  </si>
  <si>
    <t>Ujapgrw</t>
  </si>
  <si>
    <t>Pcynuzm</t>
  </si>
  <si>
    <t>Cgmgolxn</t>
  </si>
  <si>
    <t>Nxwbaftx</t>
  </si>
  <si>
    <t>Msjx</t>
  </si>
  <si>
    <t>Qgim</t>
  </si>
  <si>
    <t>Yitaseuh</t>
  </si>
  <si>
    <t>Rsybiw</t>
  </si>
  <si>
    <t>Nyihjwd</t>
  </si>
  <si>
    <t>Mybgp</t>
  </si>
  <si>
    <t>Coliau</t>
  </si>
  <si>
    <t>Zkcymkqx</t>
  </si>
  <si>
    <t>Gbjfckjo</t>
  </si>
  <si>
    <t>Wbbxxrcz</t>
  </si>
  <si>
    <t>Xgfzbnap</t>
  </si>
  <si>
    <t>Cjuehyfl</t>
  </si>
  <si>
    <t>Oibllvpm</t>
  </si>
  <si>
    <t>Bixbhxkr</t>
  </si>
  <si>
    <t>Xmskvxod</t>
  </si>
  <si>
    <t>Vaent</t>
  </si>
  <si>
    <t>Luqxxkzr</t>
  </si>
  <si>
    <t>Szzfhcau</t>
  </si>
  <si>
    <t>Pxncc</t>
  </si>
  <si>
    <t>Fujyeuwm</t>
  </si>
  <si>
    <t>Vxuaavaj</t>
  </si>
  <si>
    <t>Idfkqlwk</t>
  </si>
  <si>
    <t>Zctshhoe</t>
  </si>
  <si>
    <t>Wttffpi</t>
  </si>
  <si>
    <t>Plfurc</t>
  </si>
  <si>
    <t>Hyh</t>
  </si>
  <si>
    <t>Glsfaup</t>
  </si>
  <si>
    <t>Pribf</t>
  </si>
  <si>
    <t>Epocjgt</t>
  </si>
  <si>
    <t>Nqzaxb</t>
  </si>
  <si>
    <t>Kubj</t>
  </si>
  <si>
    <t>Naxbq</t>
  </si>
  <si>
    <t>Fmmpsw</t>
  </si>
  <si>
    <t>Hquuzt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</si>
</sst>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\ _F_t_-;\-* #,##0.00\ _F_t_-;_-* &quot;-&quot;??\ _F_t_-;_-@_-"/>
    <numFmt numFmtId="165" formatCode="0.000"/>
    <numFmt numFmtId="166" formatCode="0.0"/>
    <numFmt numFmtId="167" formatCode="0.0000"/>
    <numFmt numFmtId="168" formatCode="#,##0.0"/>
    <numFmt numFmtId="169" formatCode="h:mm;@"/>
  </numFmts>
  <fonts count="7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indexed="8"/>
      <name val="Calibri"/>
      <family val="2"/>
      <charset val="238"/>
    </font>
    <font>
      <sz val="10"/>
      <name val="Arial"/>
      <family val="2"/>
      <charset val="238"/>
    </font>
    <font>
      <b/>
      <sz val="10"/>
      <name val="Calibri"/>
      <family val="2"/>
      <charset val="238"/>
    </font>
    <font>
      <sz val="10"/>
      <name val="Calibri"/>
      <family val="2"/>
      <charset val="238"/>
    </font>
    <font>
      <sz val="26"/>
      <color rgb="FFFF0000"/>
      <name val="Calibri"/>
      <family val="2"/>
      <scheme val="minor"/>
    </font>
    <font>
      <b/>
      <sz val="26"/>
      <name val="Calibri"/>
      <family val="2"/>
      <charset val="238"/>
      <scheme val="minor"/>
    </font>
    <font>
      <b/>
      <sz val="28"/>
      <color rgb="FFFF0000"/>
      <name val="Calibri"/>
      <family val="2"/>
      <charset val="238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</font>
    <font>
      <sz val="11"/>
      <color rgb="FFFF33CC"/>
      <name val="Calibri"/>
      <family val="2"/>
      <scheme val="minor"/>
    </font>
    <font>
      <b/>
      <vertAlign val="superscript"/>
      <sz val="11"/>
      <color theme="1"/>
      <name val="Calibri"/>
      <family val="2"/>
      <charset val="238"/>
      <scheme val="minor"/>
    </font>
    <font>
      <b/>
      <sz val="10"/>
      <color rgb="FFFF33CC"/>
      <name val="Calibri"/>
      <family val="2"/>
      <charset val="238"/>
    </font>
    <font>
      <b/>
      <vertAlign val="subscript"/>
      <sz val="10"/>
      <color rgb="FFFF33CC"/>
      <name val="Calibri"/>
      <family val="2"/>
      <charset val="238"/>
    </font>
    <font>
      <b/>
      <vertAlign val="superscript"/>
      <sz val="10"/>
      <color rgb="FFFF33CC"/>
      <name val="Calibri"/>
      <family val="2"/>
      <charset val="238"/>
    </font>
    <font>
      <b/>
      <sz val="10"/>
      <color rgb="FFFF33CC"/>
      <name val="Arial"/>
      <family val="2"/>
      <charset val="238"/>
    </font>
    <font>
      <b/>
      <sz val="11"/>
      <color rgb="FFFF33CC"/>
      <name val="Calibri"/>
      <family val="2"/>
      <charset val="238"/>
    </font>
    <font>
      <sz val="12"/>
      <name val="Times New Roman"/>
      <family val="1"/>
      <charset val="238"/>
    </font>
    <font>
      <sz val="14"/>
      <name val="Times New Roman"/>
      <family val="1"/>
      <charset val="238"/>
    </font>
    <font>
      <sz val="10"/>
      <name val="Times New Roman"/>
      <family val="1"/>
      <charset val="238"/>
    </font>
    <font>
      <b/>
      <sz val="12"/>
      <name val="Times New Roman"/>
      <family val="1"/>
      <charset val="238"/>
    </font>
    <font>
      <b/>
      <vertAlign val="subscript"/>
      <sz val="12"/>
      <name val="Times New Roman"/>
      <family val="1"/>
      <charset val="238"/>
    </font>
    <font>
      <b/>
      <vertAlign val="superscript"/>
      <sz val="12"/>
      <name val="Times New Roman"/>
      <family val="1"/>
      <charset val="238"/>
    </font>
    <font>
      <sz val="8"/>
      <name val="Times New Roman"/>
      <family val="1"/>
      <charset val="238"/>
    </font>
    <font>
      <sz val="1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0"/>
      <name val="Calibri"/>
      <family val="2"/>
      <scheme val="minor"/>
    </font>
    <font>
      <sz val="9"/>
      <name val="Times New Roman"/>
      <family val="1"/>
      <charset val="238"/>
    </font>
    <font>
      <b/>
      <sz val="9"/>
      <name val="Times New Roman"/>
      <family val="1"/>
      <charset val="238"/>
    </font>
    <font>
      <b/>
      <sz val="8"/>
      <name val="Times New Roman"/>
      <family val="1"/>
      <charset val="238"/>
    </font>
    <font>
      <b/>
      <vertAlign val="subscript"/>
      <sz val="8"/>
      <name val="Times New Roman"/>
      <family val="1"/>
      <charset val="238"/>
    </font>
    <font>
      <b/>
      <vertAlign val="superscript"/>
      <sz val="8"/>
      <name val="Times New Roman"/>
      <family val="1"/>
      <charset val="238"/>
    </font>
    <font>
      <b/>
      <sz val="7"/>
      <name val="Times New Roman"/>
      <family val="1"/>
      <charset val="238"/>
    </font>
    <font>
      <sz val="8"/>
      <name val="Calibri"/>
      <family val="2"/>
      <charset val="238"/>
      <scheme val="minor"/>
    </font>
    <font>
      <b/>
      <sz val="36"/>
      <color rgb="FF000000"/>
      <name val="Calibri"/>
      <family val="2"/>
      <charset val="238"/>
    </font>
    <font>
      <sz val="8"/>
      <name val="Calibri"/>
      <family val="2"/>
      <scheme val="minor"/>
    </font>
    <font>
      <sz val="11"/>
      <color rgb="FF0000FF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b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b/>
      <sz val="18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sz val="18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Times New Roman"/>
      <family val="1"/>
      <charset val="238"/>
    </font>
    <font>
      <b/>
      <sz val="16"/>
      <color theme="1"/>
      <name val="Times New Roman"/>
      <family val="1"/>
      <charset val="238"/>
    </font>
    <font>
      <b/>
      <sz val="12"/>
      <color theme="1"/>
      <name val="Times New Roman"/>
      <family val="1"/>
      <charset val="238"/>
    </font>
    <font>
      <sz val="10"/>
      <color theme="1"/>
      <name val="Times New Roman"/>
      <family val="1"/>
      <charset val="238"/>
    </font>
    <font>
      <b/>
      <sz val="11"/>
      <color theme="1"/>
      <name val="Times New Roman"/>
      <family val="1"/>
      <charset val="238"/>
    </font>
    <font>
      <sz val="12"/>
      <color theme="1"/>
      <name val="Times New Roman"/>
      <family val="1"/>
      <charset val="238"/>
    </font>
    <font>
      <sz val="9"/>
      <color theme="1"/>
      <name val="Times New Roman"/>
      <family val="1"/>
      <charset val="238"/>
    </font>
    <font>
      <vertAlign val="subscript"/>
      <sz val="9"/>
      <color theme="1"/>
      <name val="Times New Roman"/>
      <family val="1"/>
      <charset val="238"/>
    </font>
    <font>
      <b/>
      <sz val="9"/>
      <color theme="1"/>
      <name val="Times New Roman"/>
      <family val="1"/>
      <charset val="238"/>
    </font>
    <font>
      <vertAlign val="superscript"/>
      <sz val="11"/>
      <color theme="1"/>
      <name val="Times New Roman"/>
      <family val="1"/>
      <charset val="238"/>
    </font>
    <font>
      <b/>
      <vertAlign val="superscript"/>
      <sz val="11"/>
      <color theme="1"/>
      <name val="Times New Roman"/>
      <family val="1"/>
      <charset val="238"/>
    </font>
    <font>
      <b/>
      <sz val="11"/>
      <color theme="1"/>
      <name val="Times New Roman"/>
      <family val="2"/>
      <charset val="238"/>
    </font>
    <font>
      <b/>
      <sz val="22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33CC"/>
        <bgColor indexed="64"/>
      </patternFill>
    </fill>
  </fills>
  <borders count="7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10" fillId="0" borderId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0" fontId="17" fillId="0" borderId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9" fillId="0" borderId="0"/>
  </cellStyleXfs>
  <cellXfs count="786">
    <xf numFmtId="0" fontId="0" fillId="0" borderId="0" xfId="0"/>
    <xf numFmtId="0" fontId="0" fillId="0" borderId="2" xfId="0" applyBorder="1"/>
    <xf numFmtId="0" fontId="0" fillId="3" borderId="2" xfId="0" applyFill="1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15" fillId="0" borderId="0" xfId="0" applyFont="1"/>
    <xf numFmtId="0" fontId="0" fillId="3" borderId="43" xfId="0" applyFill="1" applyBorder="1" applyAlignment="1" applyProtection="1">
      <alignment horizontal="center"/>
      <protection locked="0"/>
    </xf>
    <xf numFmtId="0" fontId="15" fillId="0" borderId="2" xfId="0" applyFont="1" applyBorder="1"/>
    <xf numFmtId="0" fontId="0" fillId="6" borderId="2" xfId="0" applyFill="1" applyBorder="1" applyAlignment="1" applyProtection="1">
      <alignment horizontal="center"/>
      <protection locked="0"/>
    </xf>
    <xf numFmtId="14" fontId="0" fillId="3" borderId="43" xfId="0" applyNumberFormat="1" applyFill="1" applyBorder="1" applyAlignment="1" applyProtection="1">
      <alignment horizontal="center"/>
      <protection locked="0"/>
    </xf>
    <xf numFmtId="0" fontId="0" fillId="6" borderId="2" xfId="0" applyFill="1" applyBorder="1" applyProtection="1"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25" fillId="6" borderId="30" xfId="0" applyFont="1" applyFill="1" applyBorder="1" applyProtection="1">
      <protection locked="0"/>
    </xf>
    <xf numFmtId="0" fontId="0" fillId="3" borderId="25" xfId="0" applyFill="1" applyBorder="1" applyAlignment="1" applyProtection="1">
      <alignment horizontal="center"/>
      <protection locked="0"/>
    </xf>
    <xf numFmtId="2" fontId="0" fillId="3" borderId="6" xfId="0" applyNumberFormat="1" applyFill="1" applyBorder="1" applyAlignment="1" applyProtection="1">
      <alignment horizontal="center"/>
      <protection locked="0"/>
    </xf>
    <xf numFmtId="0" fontId="39" fillId="0" borderId="0" xfId="0" applyFont="1"/>
    <xf numFmtId="0" fontId="39" fillId="0" borderId="2" xfId="0" applyFont="1" applyBorder="1" applyAlignment="1">
      <alignment horizontal="left" vertical="center" wrapText="1"/>
    </xf>
    <xf numFmtId="0" fontId="23" fillId="3" borderId="2" xfId="0" applyFont="1" applyFill="1" applyBorder="1" applyProtection="1">
      <protection locked="0"/>
    </xf>
    <xf numFmtId="0" fontId="0" fillId="11" borderId="2" xfId="0" applyFill="1" applyBorder="1" applyProtection="1">
      <protection locked="0"/>
    </xf>
    <xf numFmtId="0" fontId="0" fillId="11" borderId="6" xfId="0" applyFill="1" applyBorder="1" applyProtection="1">
      <protection locked="0"/>
    </xf>
    <xf numFmtId="0" fontId="0" fillId="11" borderId="2" xfId="0" applyFill="1" applyBorder="1" applyAlignment="1" applyProtection="1">
      <alignment horizontal="center"/>
      <protection locked="0"/>
    </xf>
    <xf numFmtId="0" fontId="14" fillId="0" borderId="0" xfId="0" applyFont="1"/>
    <xf numFmtId="0" fontId="0" fillId="8" borderId="2" xfId="0" applyFill="1" applyBorder="1" applyAlignment="1">
      <alignment horizontal="center"/>
    </xf>
    <xf numFmtId="0" fontId="0" fillId="3" borderId="2" xfId="0" quotePrefix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left"/>
    </xf>
    <xf numFmtId="0" fontId="0" fillId="8" borderId="2" xfId="0" applyFill="1" applyBorder="1"/>
    <xf numFmtId="0" fontId="39" fillId="0" borderId="2" xfId="0" applyFont="1" applyBorder="1"/>
    <xf numFmtId="0" fontId="39" fillId="13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horizontal="left"/>
    </xf>
    <xf numFmtId="0" fontId="0" fillId="13" borderId="2" xfId="0" applyFill="1" applyBorder="1" applyAlignment="1">
      <alignment vertical="center"/>
    </xf>
    <xf numFmtId="0" fontId="0" fillId="14" borderId="0" xfId="0" applyFill="1"/>
    <xf numFmtId="0" fontId="23" fillId="11" borderId="2" xfId="0" applyFont="1" applyFill="1" applyBorder="1" applyProtection="1">
      <protection locked="0"/>
    </xf>
    <xf numFmtId="0" fontId="0" fillId="13" borderId="2" xfId="0" applyFill="1" applyBorder="1"/>
    <xf numFmtId="0" fontId="51" fillId="13" borderId="2" xfId="0" applyFont="1" applyFill="1" applyBorder="1" applyAlignment="1">
      <alignment horizontal="center"/>
    </xf>
    <xf numFmtId="0" fontId="51" fillId="13" borderId="2" xfId="0" applyFont="1" applyFill="1" applyBorder="1"/>
    <xf numFmtId="0" fontId="14" fillId="0" borderId="2" xfId="0" applyFont="1" applyBorder="1"/>
    <xf numFmtId="14" fontId="23" fillId="3" borderId="6" xfId="0" applyNumberFormat="1" applyFont="1" applyFill="1" applyBorder="1" applyProtection="1">
      <protection locked="0"/>
    </xf>
    <xf numFmtId="0" fontId="23" fillId="11" borderId="6" xfId="0" applyFont="1" applyFill="1" applyBorder="1" applyProtection="1">
      <protection locked="0"/>
    </xf>
    <xf numFmtId="0" fontId="23" fillId="3" borderId="10" xfId="0" applyFont="1" applyFill="1" applyBorder="1" applyProtection="1">
      <protection locked="0"/>
    </xf>
    <xf numFmtId="20" fontId="7" fillId="3" borderId="6" xfId="0" applyNumberFormat="1" applyFont="1" applyFill="1" applyBorder="1" applyProtection="1">
      <protection locked="0"/>
    </xf>
    <xf numFmtId="0" fontId="0" fillId="13" borderId="2" xfId="0" applyFill="1" applyBorder="1" applyAlignment="1">
      <alignment vertical="center" wrapText="1"/>
    </xf>
    <xf numFmtId="0" fontId="14" fillId="8" borderId="2" xfId="0" applyFont="1" applyFill="1" applyBorder="1"/>
    <xf numFmtId="0" fontId="39" fillId="8" borderId="2" xfId="0" applyFont="1" applyFill="1" applyBorder="1"/>
    <xf numFmtId="0" fontId="0" fillId="17" borderId="2" xfId="0" applyFill="1" applyBorder="1" applyAlignment="1">
      <alignment horizontal="left"/>
    </xf>
    <xf numFmtId="0" fontId="0" fillId="17" borderId="2" xfId="0" applyFill="1" applyBorder="1" applyAlignment="1">
      <alignment horizontal="center"/>
    </xf>
    <xf numFmtId="0" fontId="0" fillId="17" borderId="2" xfId="0" applyFill="1" applyBorder="1"/>
    <xf numFmtId="14" fontId="23" fillId="17" borderId="2" xfId="0" applyNumberFormat="1" applyFont="1" applyFill="1" applyBorder="1" applyAlignment="1">
      <alignment horizontal="left"/>
    </xf>
    <xf numFmtId="0" fontId="0" fillId="17" borderId="4" xfId="0" applyFill="1" applyBorder="1"/>
    <xf numFmtId="0" fontId="0" fillId="17" borderId="4" xfId="0" applyFill="1" applyBorder="1" applyAlignment="1">
      <alignment horizontal="center"/>
    </xf>
    <xf numFmtId="0" fontId="0" fillId="17" borderId="6" xfId="0" applyFill="1" applyBorder="1"/>
    <xf numFmtId="0" fontId="0" fillId="17" borderId="6" xfId="0" applyFill="1" applyBorder="1" applyAlignment="1">
      <alignment horizontal="center"/>
    </xf>
    <xf numFmtId="0" fontId="21" fillId="0" borderId="0" xfId="0" applyFont="1"/>
    <xf numFmtId="0" fontId="0" fillId="0" borderId="0" xfId="0" applyAlignment="1">
      <alignment horizontal="center"/>
    </xf>
    <xf numFmtId="0" fontId="21" fillId="0" borderId="11" xfId="0" applyFont="1" applyBorder="1"/>
    <xf numFmtId="0" fontId="0" fillId="13" borderId="2" xfId="0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/>
    </xf>
    <xf numFmtId="0" fontId="8" fillId="0" borderId="0" xfId="0" applyFont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25" fillId="0" borderId="0" xfId="0" applyFont="1"/>
    <xf numFmtId="0" fontId="25" fillId="0" borderId="2" xfId="0" quotePrefix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0" fontId="8" fillId="0" borderId="2" xfId="0" applyFont="1" applyBorder="1"/>
    <xf numFmtId="14" fontId="8" fillId="0" borderId="2" xfId="0" applyNumberFormat="1" applyFont="1" applyBorder="1"/>
    <xf numFmtId="0" fontId="7" fillId="0" borderId="2" xfId="0" applyFont="1" applyBorder="1"/>
    <xf numFmtId="0" fontId="23" fillId="0" borderId="6" xfId="0" applyFont="1" applyBorder="1"/>
    <xf numFmtId="0" fontId="0" fillId="0" borderId="6" xfId="0" applyBorder="1"/>
    <xf numFmtId="0" fontId="23" fillId="0" borderId="2" xfId="0" applyFont="1" applyBorder="1"/>
    <xf numFmtId="14" fontId="0" fillId="0" borderId="2" xfId="0" applyNumberFormat="1" applyBorder="1"/>
    <xf numFmtId="0" fontId="19" fillId="8" borderId="2" xfId="0" applyFont="1" applyFill="1" applyBorder="1" applyAlignment="1">
      <alignment horizontal="center"/>
    </xf>
    <xf numFmtId="0" fontId="25" fillId="0" borderId="2" xfId="0" applyFont="1" applyBorder="1"/>
    <xf numFmtId="2" fontId="25" fillId="0" borderId="2" xfId="0" applyNumberFormat="1" applyFont="1" applyBorder="1" applyAlignment="1">
      <alignment horizontal="center"/>
    </xf>
    <xf numFmtId="1" fontId="25" fillId="0" borderId="2" xfId="0" applyNumberFormat="1" applyFont="1" applyBorder="1" applyAlignment="1">
      <alignment horizontal="center"/>
    </xf>
    <xf numFmtId="1" fontId="25" fillId="8" borderId="2" xfId="0" applyNumberFormat="1" applyFont="1" applyFill="1" applyBorder="1" applyAlignment="1">
      <alignment horizontal="center"/>
    </xf>
    <xf numFmtId="0" fontId="25" fillId="0" borderId="24" xfId="0" applyFont="1" applyBorder="1"/>
    <xf numFmtId="0" fontId="25" fillId="0" borderId="25" xfId="0" applyFont="1" applyBorder="1"/>
    <xf numFmtId="14" fontId="25" fillId="0" borderId="25" xfId="0" applyNumberFormat="1" applyFont="1" applyBorder="1"/>
    <xf numFmtId="0" fontId="25" fillId="0" borderId="26" xfId="0" applyFont="1" applyBorder="1"/>
    <xf numFmtId="0" fontId="25" fillId="0" borderId="27" xfId="0" applyFont="1" applyBorder="1"/>
    <xf numFmtId="14" fontId="25" fillId="0" borderId="2" xfId="0" applyNumberFormat="1" applyFont="1" applyBorder="1"/>
    <xf numFmtId="0" fontId="25" fillId="0" borderId="28" xfId="0" applyFont="1" applyBorder="1"/>
    <xf numFmtId="0" fontId="23" fillId="0" borderId="0" xfId="0" applyFont="1"/>
    <xf numFmtId="0" fontId="25" fillId="0" borderId="29" xfId="0" applyFont="1" applyBorder="1"/>
    <xf numFmtId="0" fontId="25" fillId="0" borderId="30" xfId="0" applyFont="1" applyBorder="1"/>
    <xf numFmtId="14" fontId="25" fillId="0" borderId="30" xfId="0" applyNumberFormat="1" applyFont="1" applyBorder="1"/>
    <xf numFmtId="0" fontId="25" fillId="0" borderId="31" xfId="0" applyFont="1" applyBorder="1"/>
    <xf numFmtId="2" fontId="25" fillId="0" borderId="25" xfId="0" applyNumberFormat="1" applyFont="1" applyBorder="1"/>
    <xf numFmtId="2" fontId="25" fillId="0" borderId="2" xfId="0" applyNumberFormat="1" applyFont="1" applyBorder="1"/>
    <xf numFmtId="2" fontId="25" fillId="0" borderId="30" xfId="0" applyNumberFormat="1" applyFont="1" applyBorder="1"/>
    <xf numFmtId="0" fontId="40" fillId="0" borderId="24" xfId="0" applyFont="1" applyBorder="1" applyAlignment="1">
      <alignment horizontal="center" vertical="center" wrapText="1"/>
    </xf>
    <xf numFmtId="14" fontId="48" fillId="0" borderId="25" xfId="0" applyNumberFormat="1" applyFont="1" applyBorder="1" applyAlignment="1">
      <alignment horizontal="center" vertical="center" wrapText="1"/>
    </xf>
    <xf numFmtId="14" fontId="48" fillId="0" borderId="25" xfId="0" applyNumberFormat="1" applyFont="1" applyBorder="1" applyAlignment="1">
      <alignment horizontal="left" vertical="center" wrapText="1"/>
    </xf>
    <xf numFmtId="2" fontId="40" fillId="0" borderId="25" xfId="0" applyNumberFormat="1" applyFont="1" applyBorder="1" applyAlignment="1">
      <alignment horizontal="center" vertical="center" wrapText="1"/>
    </xf>
    <xf numFmtId="2" fontId="40" fillId="0" borderId="25" xfId="0" applyNumberFormat="1" applyFont="1" applyBorder="1" applyAlignment="1">
      <alignment horizontal="center" vertical="center"/>
    </xf>
    <xf numFmtId="1" fontId="40" fillId="0" borderId="25" xfId="0" applyNumberFormat="1" applyFont="1" applyBorder="1" applyAlignment="1">
      <alignment horizontal="center" vertical="center"/>
    </xf>
    <xf numFmtId="0" fontId="40" fillId="0" borderId="25" xfId="0" applyFont="1" applyBorder="1" applyAlignment="1">
      <alignment horizontal="center" vertical="center"/>
    </xf>
    <xf numFmtId="1" fontId="40" fillId="0" borderId="26" xfId="0" applyNumberFormat="1" applyFont="1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40" fillId="0" borderId="27" xfId="0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center" vertical="center" wrapText="1"/>
    </xf>
    <xf numFmtId="14" fontId="48" fillId="0" borderId="2" xfId="0" applyNumberFormat="1" applyFont="1" applyBorder="1" applyAlignment="1">
      <alignment horizontal="left" vertical="center" wrapText="1"/>
    </xf>
    <xf numFmtId="2" fontId="40" fillId="0" borderId="2" xfId="0" applyNumberFormat="1" applyFont="1" applyBorder="1" applyAlignment="1">
      <alignment horizontal="center" vertical="center" wrapText="1"/>
    </xf>
    <xf numFmtId="2" fontId="40" fillId="0" borderId="2" xfId="0" applyNumberFormat="1" applyFont="1" applyBorder="1" applyAlignment="1">
      <alignment horizontal="center" vertical="center"/>
    </xf>
    <xf numFmtId="1" fontId="40" fillId="0" borderId="2" xfId="0" applyNumberFormat="1" applyFont="1" applyBorder="1" applyAlignment="1">
      <alignment horizontal="center" vertical="center"/>
    </xf>
    <xf numFmtId="0" fontId="40" fillId="0" borderId="2" xfId="0" applyFont="1" applyBorder="1" applyAlignment="1">
      <alignment horizontal="center" vertical="center"/>
    </xf>
    <xf numFmtId="1" fontId="40" fillId="0" borderId="28" xfId="0" applyNumberFormat="1" applyFont="1" applyBorder="1" applyAlignment="1">
      <alignment horizontal="center" vertical="center"/>
    </xf>
    <xf numFmtId="0" fontId="25" fillId="6" borderId="2" xfId="0" quotePrefix="1" applyFont="1" applyFill="1" applyBorder="1" applyAlignment="1">
      <alignment horizontal="center"/>
    </xf>
    <xf numFmtId="0" fontId="25" fillId="6" borderId="2" xfId="0" applyFont="1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14" fontId="0" fillId="0" borderId="25" xfId="0" applyNumberFormat="1" applyBorder="1"/>
    <xf numFmtId="0" fontId="0" fillId="0" borderId="26" xfId="0" applyBorder="1"/>
    <xf numFmtId="0" fontId="20" fillId="0" borderId="0" xfId="0" applyFont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14" fontId="0" fillId="0" borderId="30" xfId="0" applyNumberFormat="1" applyBorder="1"/>
    <xf numFmtId="0" fontId="0" fillId="0" borderId="31" xfId="0" applyBorder="1"/>
    <xf numFmtId="0" fontId="15" fillId="0" borderId="24" xfId="0" applyFont="1" applyBorder="1"/>
    <xf numFmtId="0" fontId="15" fillId="0" borderId="25" xfId="0" applyFont="1" applyBorder="1"/>
    <xf numFmtId="14" fontId="15" fillId="0" borderId="25" xfId="0" applyNumberFormat="1" applyFont="1" applyBorder="1"/>
    <xf numFmtId="0" fontId="15" fillId="0" borderId="26" xfId="0" applyFont="1" applyBorder="1"/>
    <xf numFmtId="0" fontId="15" fillId="0" borderId="27" xfId="0" applyFont="1" applyBorder="1"/>
    <xf numFmtId="14" fontId="15" fillId="0" borderId="2" xfId="0" applyNumberFormat="1" applyFont="1" applyBorder="1"/>
    <xf numFmtId="0" fontId="15" fillId="0" borderId="28" xfId="0" applyFont="1" applyBorder="1"/>
    <xf numFmtId="0" fontId="15" fillId="0" borderId="29" xfId="0" applyFont="1" applyBorder="1"/>
    <xf numFmtId="0" fontId="15" fillId="0" borderId="30" xfId="0" applyFont="1" applyBorder="1"/>
    <xf numFmtId="14" fontId="15" fillId="0" borderId="30" xfId="0" applyNumberFormat="1" applyFont="1" applyBorder="1"/>
    <xf numFmtId="0" fontId="15" fillId="0" borderId="31" xfId="0" applyFont="1" applyBorder="1"/>
    <xf numFmtId="0" fontId="40" fillId="0" borderId="29" xfId="0" applyFont="1" applyBorder="1" applyAlignment="1">
      <alignment horizontal="center" vertical="center" wrapText="1"/>
    </xf>
    <xf numFmtId="14" fontId="48" fillId="0" borderId="30" xfId="0" applyNumberFormat="1" applyFont="1" applyBorder="1" applyAlignment="1">
      <alignment horizontal="center" vertical="center" wrapText="1"/>
    </xf>
    <xf numFmtId="14" fontId="48" fillId="0" borderId="30" xfId="0" applyNumberFormat="1" applyFont="1" applyBorder="1" applyAlignment="1">
      <alignment horizontal="left" vertical="center" wrapText="1"/>
    </xf>
    <xf numFmtId="2" fontId="40" fillId="0" borderId="30" xfId="0" applyNumberFormat="1" applyFont="1" applyBorder="1" applyAlignment="1">
      <alignment horizontal="center" vertical="center" wrapText="1"/>
    </xf>
    <xf numFmtId="2" fontId="40" fillId="0" borderId="30" xfId="0" applyNumberFormat="1" applyFont="1" applyBorder="1" applyAlignment="1">
      <alignment horizontal="center" vertical="center"/>
    </xf>
    <xf numFmtId="1" fontId="40" fillId="0" borderId="30" xfId="0" applyNumberFormat="1" applyFont="1" applyBorder="1" applyAlignment="1">
      <alignment horizontal="center" vertical="center"/>
    </xf>
    <xf numFmtId="0" fontId="40" fillId="0" borderId="30" xfId="0" applyFont="1" applyBorder="1" applyAlignment="1">
      <alignment horizontal="center" vertical="center"/>
    </xf>
    <xf numFmtId="1" fontId="40" fillId="0" borderId="31" xfId="0" applyNumberFormat="1" applyFont="1" applyBorder="1" applyAlignment="1">
      <alignment horizontal="center" vertical="center"/>
    </xf>
    <xf numFmtId="0" fontId="20" fillId="0" borderId="0" xfId="0" applyFont="1" applyAlignment="1">
      <alignment horizontal="left"/>
    </xf>
    <xf numFmtId="0" fontId="0" fillId="6" borderId="29" xfId="0" applyFill="1" applyBorder="1"/>
    <xf numFmtId="0" fontId="0" fillId="6" borderId="30" xfId="0" applyFill="1" applyBorder="1"/>
    <xf numFmtId="14" fontId="25" fillId="6" borderId="30" xfId="0" applyNumberFormat="1" applyFont="1" applyFill="1" applyBorder="1"/>
    <xf numFmtId="0" fontId="25" fillId="6" borderId="30" xfId="0" applyFont="1" applyFill="1" applyBorder="1"/>
    <xf numFmtId="2" fontId="25" fillId="6" borderId="30" xfId="0" applyNumberFormat="1" applyFont="1" applyFill="1" applyBorder="1"/>
    <xf numFmtId="0" fontId="0" fillId="6" borderId="31" xfId="0" applyFill="1" applyBorder="1"/>
    <xf numFmtId="0" fontId="0" fillId="0" borderId="38" xfId="0" applyBorder="1"/>
    <xf numFmtId="0" fontId="0" fillId="0" borderId="4" xfId="0" applyBorder="1"/>
    <xf numFmtId="14" fontId="25" fillId="0" borderId="4" xfId="0" applyNumberFormat="1" applyFont="1" applyBorder="1"/>
    <xf numFmtId="0" fontId="25" fillId="0" borderId="4" xfId="0" applyFont="1" applyBorder="1"/>
    <xf numFmtId="0" fontId="0" fillId="0" borderId="42" xfId="0" applyBorder="1"/>
    <xf numFmtId="14" fontId="25" fillId="0" borderId="45" xfId="0" applyNumberFormat="1" applyFont="1" applyBorder="1"/>
    <xf numFmtId="0" fontId="25" fillId="0" borderId="45" xfId="0" applyFont="1" applyBorder="1"/>
    <xf numFmtId="0" fontId="14" fillId="0" borderId="0" xfId="0" applyFont="1" applyAlignment="1">
      <alignment horizontal="center"/>
    </xf>
    <xf numFmtId="0" fontId="0" fillId="13" borderId="26" xfId="0" applyFill="1" applyBorder="1" applyAlignment="1">
      <alignment vertical="center"/>
    </xf>
    <xf numFmtId="0" fontId="0" fillId="0" borderId="54" xfId="0" applyBorder="1" applyAlignment="1">
      <alignment vertical="center"/>
    </xf>
    <xf numFmtId="0" fontId="0" fillId="0" borderId="25" xfId="0" applyBorder="1" applyAlignment="1">
      <alignment vertical="center"/>
    </xf>
    <xf numFmtId="0" fontId="39" fillId="0" borderId="2" xfId="0" applyFont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/>
    </xf>
    <xf numFmtId="0" fontId="0" fillId="13" borderId="28" xfId="0" applyFill="1" applyBorder="1" applyAlignment="1">
      <alignment vertical="center"/>
    </xf>
    <xf numFmtId="0" fontId="0" fillId="15" borderId="2" xfId="0" quotePrefix="1" applyFill="1" applyBorder="1" applyAlignment="1">
      <alignment vertical="center"/>
    </xf>
    <xf numFmtId="0" fontId="0" fillId="6" borderId="2" xfId="0" quotePrefix="1" applyFill="1" applyBorder="1" applyAlignment="1">
      <alignment vertical="center"/>
    </xf>
    <xf numFmtId="0" fontId="0" fillId="15" borderId="2" xfId="0" applyFill="1" applyBorder="1" applyAlignment="1">
      <alignment vertical="center"/>
    </xf>
    <xf numFmtId="0" fontId="0" fillId="6" borderId="2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51" fillId="13" borderId="28" xfId="0" applyFont="1" applyFill="1" applyBorder="1" applyAlignment="1">
      <alignment vertical="center"/>
    </xf>
    <xf numFmtId="0" fontId="0" fillId="8" borderId="43" xfId="0" applyFill="1" applyBorder="1" applyAlignment="1">
      <alignment vertical="center"/>
    </xf>
    <xf numFmtId="0" fontId="0" fillId="8" borderId="2" xfId="0" applyFill="1" applyBorder="1" applyAlignment="1">
      <alignment vertical="center"/>
    </xf>
    <xf numFmtId="0" fontId="0" fillId="13" borderId="31" xfId="0" applyFill="1" applyBorder="1" applyAlignment="1">
      <alignment vertical="center"/>
    </xf>
    <xf numFmtId="0" fontId="0" fillId="16" borderId="55" xfId="0" applyFill="1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24" xfId="0" applyBorder="1" applyAlignment="1">
      <alignment vertical="center"/>
    </xf>
    <xf numFmtId="0" fontId="58" fillId="0" borderId="25" xfId="0" applyFont="1" applyBorder="1" applyAlignment="1">
      <alignment vertical="center"/>
    </xf>
    <xf numFmtId="0" fontId="0" fillId="8" borderId="27" xfId="0" applyFill="1" applyBorder="1" applyAlignment="1">
      <alignment vertical="center"/>
    </xf>
    <xf numFmtId="0" fontId="0" fillId="8" borderId="0" xfId="0" applyFill="1"/>
    <xf numFmtId="0" fontId="51" fillId="13" borderId="30" xfId="0" applyFont="1" applyFill="1" applyBorder="1" applyAlignment="1">
      <alignment horizontal="center"/>
    </xf>
    <xf numFmtId="0" fontId="39" fillId="13" borderId="30" xfId="0" applyFont="1" applyFill="1" applyBorder="1" applyAlignment="1">
      <alignment horizontal="center"/>
    </xf>
    <xf numFmtId="0" fontId="51" fillId="13" borderId="30" xfId="0" applyFont="1" applyFill="1" applyBorder="1"/>
    <xf numFmtId="0" fontId="39" fillId="13" borderId="30" xfId="0" applyFont="1" applyFill="1" applyBorder="1"/>
    <xf numFmtId="0" fontId="0" fillId="13" borderId="30" xfId="0" applyFill="1" applyBorder="1" applyAlignment="1">
      <alignment horizontal="center"/>
    </xf>
    <xf numFmtId="0" fontId="39" fillId="13" borderId="30" xfId="0" applyFont="1" applyFill="1" applyBorder="1" applyAlignment="1">
      <alignment horizontal="center" vertical="center"/>
    </xf>
    <xf numFmtId="0" fontId="14" fillId="13" borderId="30" xfId="0" applyFont="1" applyFill="1" applyBorder="1" applyAlignment="1">
      <alignment horizontal="center" vertical="center"/>
    </xf>
    <xf numFmtId="0" fontId="0" fillId="13" borderId="30" xfId="0" applyFill="1" applyBorder="1"/>
    <xf numFmtId="0" fontId="0" fillId="16" borderId="29" xfId="0" applyFill="1" applyBorder="1" applyAlignment="1">
      <alignment vertical="center"/>
    </xf>
    <xf numFmtId="0" fontId="0" fillId="0" borderId="2" xfId="0" applyBorder="1" applyAlignment="1">
      <alignment horizontal="center"/>
    </xf>
    <xf numFmtId="0" fontId="39" fillId="6" borderId="2" xfId="0" applyFont="1" applyFill="1" applyBorder="1" applyAlignment="1">
      <alignment horizontal="left"/>
    </xf>
    <xf numFmtId="0" fontId="0" fillId="16" borderId="2" xfId="0" applyFill="1" applyBorder="1" applyAlignment="1">
      <alignment horizontal="left"/>
    </xf>
    <xf numFmtId="14" fontId="23" fillId="0" borderId="2" xfId="0" applyNumberFormat="1" applyFont="1" applyBorder="1"/>
    <xf numFmtId="0" fontId="19" fillId="0" borderId="2" xfId="0" applyFont="1" applyBorder="1" applyAlignment="1">
      <alignment horizontal="center"/>
    </xf>
    <xf numFmtId="14" fontId="23" fillId="0" borderId="2" xfId="0" applyNumberFormat="1" applyFont="1" applyBorder="1" applyAlignment="1">
      <alignment horizontal="left"/>
    </xf>
    <xf numFmtId="0" fontId="0" fillId="6" borderId="2" xfId="0" applyFill="1" applyBorder="1"/>
    <xf numFmtId="0" fontId="0" fillId="0" borderId="56" xfId="0" applyBorder="1" applyAlignment="1">
      <alignment horizontal="left"/>
    </xf>
    <xf numFmtId="49" fontId="39" fillId="0" borderId="2" xfId="0" applyNumberFormat="1" applyFont="1" applyBorder="1" applyAlignment="1">
      <alignment horizontal="center"/>
    </xf>
    <xf numFmtId="49" fontId="39" fillId="0" borderId="56" xfId="0" applyNumberFormat="1" applyFont="1" applyBorder="1" applyAlignment="1">
      <alignment horizontal="center"/>
    </xf>
    <xf numFmtId="0" fontId="14" fillId="0" borderId="24" xfId="0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14" fillId="0" borderId="26" xfId="0" applyFont="1" applyBorder="1" applyAlignment="1">
      <alignment horizontal="center"/>
    </xf>
    <xf numFmtId="49" fontId="39" fillId="0" borderId="43" xfId="0" applyNumberFormat="1" applyFont="1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28" xfId="0" applyFont="1" applyBorder="1" applyAlignment="1">
      <alignment horizontal="center"/>
    </xf>
    <xf numFmtId="0" fontId="14" fillId="0" borderId="29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0" borderId="31" xfId="0" applyFont="1" applyBorder="1" applyAlignment="1">
      <alignment horizontal="center"/>
    </xf>
    <xf numFmtId="0" fontId="0" fillId="3" borderId="6" xfId="0" applyFill="1" applyBorder="1" applyProtection="1">
      <protection locked="0"/>
    </xf>
    <xf numFmtId="0" fontId="7" fillId="0" borderId="0" xfId="0" applyFont="1"/>
    <xf numFmtId="0" fontId="7" fillId="0" borderId="6" xfId="0" applyFont="1" applyBorder="1"/>
    <xf numFmtId="14" fontId="7" fillId="0" borderId="6" xfId="0" applyNumberFormat="1" applyFont="1" applyBorder="1"/>
    <xf numFmtId="14" fontId="23" fillId="0" borderId="2" xfId="0" applyNumberFormat="1" applyFont="1" applyBorder="1" applyAlignment="1">
      <alignment horizontal="center" vertical="center" wrapText="1"/>
    </xf>
    <xf numFmtId="0" fontId="23" fillId="0" borderId="2" xfId="0" applyFont="1" applyBorder="1" applyAlignment="1">
      <alignment horizontal="left" vertical="center" wrapText="1"/>
    </xf>
    <xf numFmtId="169" fontId="23" fillId="0" borderId="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3" fillId="0" borderId="31" xfId="0" applyFont="1" applyBorder="1"/>
    <xf numFmtId="0" fontId="23" fillId="0" borderId="0" xfId="0" applyFont="1" applyAlignment="1">
      <alignment horizontal="center" vertical="center" wrapText="1"/>
    </xf>
    <xf numFmtId="14" fontId="23" fillId="0" borderId="0" xfId="0" applyNumberFormat="1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169" fontId="23" fillId="0" borderId="0" xfId="0" applyNumberFormat="1" applyFont="1" applyAlignment="1">
      <alignment horizontal="center" vertical="center" wrapText="1"/>
    </xf>
    <xf numFmtId="0" fontId="52" fillId="4" borderId="4" xfId="0" applyFont="1" applyFill="1" applyBorder="1" applyAlignment="1">
      <alignment horizontal="justify" vertical="center"/>
    </xf>
    <xf numFmtId="0" fontId="52" fillId="4" borderId="5" xfId="0" applyFont="1" applyFill="1" applyBorder="1" applyAlignment="1">
      <alignment horizontal="justify" vertical="center"/>
    </xf>
    <xf numFmtId="0" fontId="52" fillId="4" borderId="6" xfId="0" applyFont="1" applyFill="1" applyBorder="1"/>
    <xf numFmtId="0" fontId="35" fillId="0" borderId="3" xfId="0" applyFont="1" applyBorder="1" applyAlignment="1">
      <alignment horizontal="center" vertical="center" wrapText="1"/>
    </xf>
    <xf numFmtId="0" fontId="0" fillId="2" borderId="2" xfId="0" applyFill="1" applyBorder="1"/>
    <xf numFmtId="165" fontId="0" fillId="2" borderId="2" xfId="0" applyNumberFormat="1" applyFill="1" applyBorder="1"/>
    <xf numFmtId="0" fontId="35" fillId="0" borderId="16" xfId="0" applyFont="1" applyBorder="1" applyAlignment="1">
      <alignment horizontal="center" vertical="center" wrapText="1"/>
    </xf>
    <xf numFmtId="0" fontId="34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vertical="center" wrapText="1"/>
    </xf>
    <xf numFmtId="0" fontId="38" fillId="0" borderId="16" xfId="0" applyFont="1" applyBorder="1" applyAlignment="1">
      <alignment horizontal="center" vertical="center" wrapText="1"/>
    </xf>
    <xf numFmtId="0" fontId="0" fillId="0" borderId="5" xfId="0" applyBorder="1"/>
    <xf numFmtId="0" fontId="39" fillId="0" borderId="24" xfId="0" applyFont="1" applyBorder="1" applyAlignment="1">
      <alignment horizontal="center" vertical="center" wrapText="1"/>
    </xf>
    <xf numFmtId="14" fontId="40" fillId="0" borderId="25" xfId="0" applyNumberFormat="1" applyFont="1" applyBorder="1" applyAlignment="1">
      <alignment horizontal="center" vertical="center" wrapText="1"/>
    </xf>
    <xf numFmtId="14" fontId="40" fillId="0" borderId="25" xfId="0" applyNumberFormat="1" applyFont="1" applyBorder="1" applyAlignment="1">
      <alignment horizontal="left" vertical="center" wrapText="1"/>
    </xf>
    <xf numFmtId="165" fontId="39" fillId="0" borderId="25" xfId="0" applyNumberFormat="1" applyFont="1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2" fontId="23" fillId="0" borderId="25" xfId="0" applyNumberFormat="1" applyFont="1" applyBorder="1" applyAlignment="1">
      <alignment horizontal="center"/>
    </xf>
    <xf numFmtId="0" fontId="32" fillId="0" borderId="26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40" fillId="0" borderId="2" xfId="0" applyFont="1" applyBorder="1" applyAlignment="1">
      <alignment horizontal="left" vertical="center" wrapText="1"/>
    </xf>
    <xf numFmtId="165" fontId="32" fillId="0" borderId="2" xfId="0" applyNumberFormat="1" applyFont="1" applyBorder="1" applyAlignment="1">
      <alignment horizontal="center" vertical="center" wrapText="1"/>
    </xf>
    <xf numFmtId="165" fontId="39" fillId="0" borderId="2" xfId="0" applyNumberFormat="1" applyFont="1" applyBorder="1" applyAlignment="1">
      <alignment horizontal="center" vertical="center" wrapText="1"/>
    </xf>
    <xf numFmtId="2" fontId="23" fillId="0" borderId="2" xfId="0" applyNumberFormat="1" applyFont="1" applyBorder="1" applyAlignment="1">
      <alignment horizontal="center"/>
    </xf>
    <xf numFmtId="0" fontId="32" fillId="0" borderId="28" xfId="0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 wrapText="1"/>
    </xf>
    <xf numFmtId="0" fontId="39" fillId="0" borderId="28" xfId="0" applyFont="1" applyBorder="1" applyAlignment="1">
      <alignment horizontal="right" vertical="center" wrapText="1"/>
    </xf>
    <xf numFmtId="0" fontId="34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166" fontId="0" fillId="0" borderId="0" xfId="0" applyNumberFormat="1" applyAlignment="1">
      <alignment horizontal="left"/>
    </xf>
    <xf numFmtId="0" fontId="23" fillId="0" borderId="2" xfId="0" applyFont="1" applyBorder="1" applyAlignment="1">
      <alignment horizontal="center"/>
    </xf>
    <xf numFmtId="0" fontId="41" fillId="0" borderId="2" xfId="0" applyFont="1" applyBorder="1" applyAlignment="1">
      <alignment horizontal="left"/>
    </xf>
    <xf numFmtId="165" fontId="23" fillId="0" borderId="2" xfId="0" applyNumberFormat="1" applyFont="1" applyBorder="1" applyAlignment="1">
      <alignment horizontal="center"/>
    </xf>
    <xf numFmtId="0" fontId="23" fillId="0" borderId="28" xfId="0" applyFont="1" applyBorder="1"/>
    <xf numFmtId="0" fontId="23" fillId="0" borderId="27" xfId="0" applyFont="1" applyBorder="1" applyAlignment="1">
      <alignment horizontal="center"/>
    </xf>
    <xf numFmtId="0" fontId="23" fillId="0" borderId="29" xfId="0" applyFont="1" applyBorder="1" applyAlignment="1">
      <alignment horizontal="center"/>
    </xf>
    <xf numFmtId="0" fontId="23" fillId="0" borderId="30" xfId="0" applyFont="1" applyBorder="1" applyAlignment="1">
      <alignment horizontal="center"/>
    </xf>
    <xf numFmtId="165" fontId="23" fillId="0" borderId="30" xfId="0" applyNumberFormat="1" applyFont="1" applyBorder="1" applyAlignment="1">
      <alignment horizontal="center"/>
    </xf>
    <xf numFmtId="165" fontId="39" fillId="0" borderId="30" xfId="0" applyNumberFormat="1" applyFont="1" applyBorder="1" applyAlignment="1">
      <alignment horizontal="center" vertical="center" wrapText="1"/>
    </xf>
    <xf numFmtId="0" fontId="39" fillId="0" borderId="30" xfId="0" applyFont="1" applyBorder="1" applyAlignment="1">
      <alignment horizontal="center" vertical="center" wrapText="1"/>
    </xf>
    <xf numFmtId="2" fontId="23" fillId="0" borderId="30" xfId="0" applyNumberFormat="1" applyFont="1" applyBorder="1" applyAlignment="1">
      <alignment horizontal="center"/>
    </xf>
    <xf numFmtId="0" fontId="0" fillId="0" borderId="2" xfId="0" quotePrefix="1" applyBorder="1"/>
    <xf numFmtId="0" fontId="0" fillId="2" borderId="6" xfId="0" applyFill="1" applyBorder="1"/>
    <xf numFmtId="2" fontId="0" fillId="2" borderId="6" xfId="0" applyNumberFormat="1" applyFill="1" applyBorder="1"/>
    <xf numFmtId="14" fontId="39" fillId="0" borderId="25" xfId="0" applyNumberFormat="1" applyFont="1" applyBorder="1" applyAlignment="1">
      <alignment horizontal="center" vertical="center" wrapText="1"/>
    </xf>
    <xf numFmtId="2" fontId="39" fillId="0" borderId="25" xfId="0" applyNumberFormat="1" applyFont="1" applyBorder="1" applyAlignment="1">
      <alignment horizontal="center" vertical="center" wrapText="1"/>
    </xf>
    <xf numFmtId="2" fontId="39" fillId="0" borderId="2" xfId="0" applyNumberFormat="1" applyFont="1" applyBorder="1" applyAlignment="1">
      <alignment horizontal="center" vertical="center" wrapText="1"/>
    </xf>
    <xf numFmtId="166" fontId="39" fillId="0" borderId="30" xfId="0" applyNumberFormat="1" applyFont="1" applyBorder="1" applyAlignment="1">
      <alignment horizontal="center" vertical="center" wrapText="1"/>
    </xf>
    <xf numFmtId="165" fontId="0" fillId="2" borderId="6" xfId="0" applyNumberFormat="1" applyFill="1" applyBorder="1"/>
    <xf numFmtId="0" fontId="0" fillId="4" borderId="4" xfId="0" applyFill="1" applyBorder="1"/>
    <xf numFmtId="0" fontId="0" fillId="4" borderId="5" xfId="0" applyFill="1" applyBorder="1"/>
    <xf numFmtId="0" fontId="39" fillId="0" borderId="28" xfId="0" applyFont="1" applyBorder="1" applyAlignment="1">
      <alignment horizontal="center" vertical="center" wrapText="1"/>
    </xf>
    <xf numFmtId="0" fontId="0" fillId="4" borderId="6" xfId="0" applyFill="1" applyBorder="1"/>
    <xf numFmtId="0" fontId="23" fillId="0" borderId="28" xfId="0" applyFont="1" applyBorder="1" applyAlignment="1">
      <alignment horizontal="center"/>
    </xf>
    <xf numFmtId="0" fontId="39" fillId="0" borderId="2" xfId="0" applyFont="1" applyBorder="1" applyAlignment="1">
      <alignment vertical="center" wrapText="1"/>
    </xf>
    <xf numFmtId="0" fontId="39" fillId="0" borderId="30" xfId="0" applyFont="1" applyBorder="1" applyAlignment="1">
      <alignment vertical="center" wrapText="1"/>
    </xf>
    <xf numFmtId="14" fontId="52" fillId="4" borderId="5" xfId="0" applyNumberFormat="1" applyFont="1" applyFill="1" applyBorder="1" applyAlignment="1">
      <alignment horizontal="justify" vertical="center"/>
    </xf>
    <xf numFmtId="0" fontId="6" fillId="0" borderId="0" xfId="0" applyFont="1"/>
    <xf numFmtId="14" fontId="39" fillId="0" borderId="25" xfId="0" applyNumberFormat="1" applyFont="1" applyBorder="1" applyAlignment="1">
      <alignment vertical="center" wrapText="1"/>
    </xf>
    <xf numFmtId="0" fontId="40" fillId="0" borderId="25" xfId="0" applyFont="1" applyBorder="1" applyAlignment="1">
      <alignment vertical="center" wrapText="1"/>
    </xf>
    <xf numFmtId="0" fontId="39" fillId="0" borderId="26" xfId="0" applyFont="1" applyBorder="1" applyAlignment="1">
      <alignment horizontal="center" vertical="center" wrapText="1"/>
    </xf>
    <xf numFmtId="14" fontId="39" fillId="0" borderId="2" xfId="0" applyNumberFormat="1" applyFont="1" applyBorder="1" applyAlignment="1">
      <alignment vertical="center" wrapText="1"/>
    </xf>
    <xf numFmtId="0" fontId="39" fillId="0" borderId="28" xfId="0" applyFont="1" applyBorder="1" applyAlignment="1">
      <alignment horizontal="center"/>
    </xf>
    <xf numFmtId="0" fontId="23" fillId="0" borderId="38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166" fontId="39" fillId="0" borderId="2" xfId="0" applyNumberFormat="1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3" fillId="0" borderId="28" xfId="0" applyFont="1" applyBorder="1" applyAlignment="1">
      <alignment horizontal="left"/>
    </xf>
    <xf numFmtId="2" fontId="39" fillId="0" borderId="30" xfId="0" applyNumberFormat="1" applyFont="1" applyBorder="1" applyAlignment="1">
      <alignment horizontal="center" vertical="center" wrapText="1"/>
    </xf>
    <xf numFmtId="2" fontId="39" fillId="0" borderId="30" xfId="0" applyNumberFormat="1" applyFont="1" applyBorder="1" applyAlignment="1">
      <alignment horizontal="left" vertical="center" wrapText="1"/>
    </xf>
    <xf numFmtId="166" fontId="39" fillId="0" borderId="30" xfId="0" applyNumberFormat="1" applyFont="1" applyBorder="1" applyAlignment="1">
      <alignment horizontal="center"/>
    </xf>
    <xf numFmtId="0" fontId="23" fillId="0" borderId="31" xfId="0" applyFont="1" applyBorder="1" applyAlignment="1">
      <alignment horizontal="center"/>
    </xf>
    <xf numFmtId="0" fontId="39" fillId="0" borderId="0" xfId="0" applyFont="1" applyAlignment="1">
      <alignment vertical="center" wrapText="1"/>
    </xf>
    <xf numFmtId="2" fontId="39" fillId="0" borderId="0" xfId="0" applyNumberFormat="1" applyFont="1" applyAlignment="1">
      <alignment vertical="center" wrapText="1"/>
    </xf>
    <xf numFmtId="166" fontId="39" fillId="0" borderId="0" xfId="0" applyNumberFormat="1" applyFont="1"/>
    <xf numFmtId="0" fontId="0" fillId="0" borderId="2" xfId="0" quotePrefix="1" applyBorder="1" applyAlignment="1">
      <alignment horizontal="center"/>
    </xf>
    <xf numFmtId="0" fontId="11" fillId="9" borderId="1" xfId="0" applyFont="1" applyFill="1" applyBorder="1" applyAlignment="1">
      <alignment vertical="center"/>
    </xf>
    <xf numFmtId="0" fontId="11" fillId="10" borderId="3" xfId="0" applyFont="1" applyFill="1" applyBorder="1" applyAlignment="1">
      <alignment horizontal="center"/>
    </xf>
    <xf numFmtId="0" fontId="24" fillId="10" borderId="3" xfId="0" applyFont="1" applyFill="1" applyBorder="1" applyAlignment="1">
      <alignment horizontal="center"/>
    </xf>
    <xf numFmtId="0" fontId="24" fillId="10" borderId="1" xfId="0" applyFont="1" applyFill="1" applyBorder="1" applyAlignment="1">
      <alignment horizontal="center"/>
    </xf>
    <xf numFmtId="0" fontId="11" fillId="10" borderId="1" xfId="0" applyFont="1" applyFill="1" applyBorder="1" applyAlignment="1">
      <alignment horizontal="center" vertical="center"/>
    </xf>
    <xf numFmtId="167" fontId="0" fillId="2" borderId="6" xfId="0" applyNumberFormat="1" applyFill="1" applyBorder="1"/>
    <xf numFmtId="0" fontId="35" fillId="0" borderId="38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5" fillId="0" borderId="42" xfId="0" applyFont="1" applyBorder="1" applyAlignment="1">
      <alignment horizontal="center" vertical="center" wrapText="1"/>
    </xf>
    <xf numFmtId="0" fontId="34" fillId="0" borderId="47" xfId="0" applyFont="1" applyBorder="1" applyAlignment="1">
      <alignment horizontal="center" vertical="center" wrapText="1"/>
    </xf>
    <xf numFmtId="167" fontId="39" fillId="0" borderId="25" xfId="0" applyNumberFormat="1" applyFont="1" applyBorder="1" applyAlignment="1">
      <alignment vertical="center" wrapText="1"/>
    </xf>
    <xf numFmtId="0" fontId="11" fillId="10" borderId="1" xfId="0" applyFont="1" applyFill="1" applyBorder="1" applyAlignment="1">
      <alignment horizontal="center"/>
    </xf>
    <xf numFmtId="0" fontId="40" fillId="4" borderId="4" xfId="0" applyFont="1" applyFill="1" applyBorder="1" applyAlignment="1">
      <alignment horizontal="justify" vertical="center"/>
    </xf>
    <xf numFmtId="0" fontId="40" fillId="4" borderId="5" xfId="0" applyFont="1" applyFill="1" applyBorder="1" applyAlignment="1">
      <alignment horizontal="justify" vertical="center"/>
    </xf>
    <xf numFmtId="0" fontId="40" fillId="4" borderId="6" xfId="0" applyFont="1" applyFill="1" applyBorder="1"/>
    <xf numFmtId="165" fontId="0" fillId="6" borderId="6" xfId="0" applyNumberFormat="1" applyFill="1" applyBorder="1"/>
    <xf numFmtId="0" fontId="0" fillId="6" borderId="0" xfId="0" applyFill="1" applyAlignment="1">
      <alignment horizontal="center"/>
    </xf>
    <xf numFmtId="0" fontId="24" fillId="10" borderId="16" xfId="0" applyFont="1" applyFill="1" applyBorder="1" applyAlignment="1">
      <alignment horizontal="center"/>
    </xf>
    <xf numFmtId="0" fontId="42" fillId="0" borderId="16" xfId="0" applyFont="1" applyBorder="1" applyAlignment="1">
      <alignment horizontal="center" vertical="center" wrapText="1"/>
    </xf>
    <xf numFmtId="0" fontId="43" fillId="0" borderId="29" xfId="0" applyFont="1" applyBorder="1" applyAlignment="1">
      <alignment horizontal="center" vertical="center" wrapText="1"/>
    </xf>
    <xf numFmtId="0" fontId="42" fillId="0" borderId="31" xfId="0" applyFont="1" applyBorder="1" applyAlignment="1">
      <alignment horizontal="center" vertical="center" wrapText="1"/>
    </xf>
    <xf numFmtId="0" fontId="42" fillId="0" borderId="47" xfId="0" applyFont="1" applyBorder="1" applyAlignment="1">
      <alignment horizontal="center" vertical="center" wrapText="1"/>
    </xf>
    <xf numFmtId="167" fontId="39" fillId="0" borderId="25" xfId="0" applyNumberFormat="1" applyFont="1" applyBorder="1" applyAlignment="1">
      <alignment horizontal="center" vertical="center" wrapText="1"/>
    </xf>
    <xf numFmtId="166" fontId="39" fillId="0" borderId="2" xfId="0" applyNumberFormat="1" applyFont="1" applyBorder="1" applyAlignment="1">
      <alignment horizontal="center" vertical="center" wrapText="1"/>
    </xf>
    <xf numFmtId="14" fontId="0" fillId="0" borderId="0" xfId="0" applyNumberFormat="1"/>
    <xf numFmtId="14" fontId="7" fillId="3" borderId="6" xfId="0" applyNumberFormat="1" applyFont="1" applyFill="1" applyBorder="1" applyProtection="1">
      <protection locked="0"/>
    </xf>
    <xf numFmtId="0" fontId="23" fillId="0" borderId="2" xfId="0" applyFont="1" applyBorder="1" applyAlignment="1">
      <alignment horizontal="center" vertical="center" wrapText="1"/>
    </xf>
    <xf numFmtId="14" fontId="23" fillId="0" borderId="2" xfId="0" applyNumberFormat="1" applyFont="1" applyBorder="1" applyAlignment="1">
      <alignment horizontal="left" vertical="center" wrapText="1"/>
    </xf>
    <xf numFmtId="0" fontId="3" fillId="3" borderId="6" xfId="0" applyFont="1" applyFill="1" applyBorder="1" applyProtection="1">
      <protection locked="0"/>
    </xf>
    <xf numFmtId="0" fontId="5" fillId="3" borderId="6" xfId="0" applyFont="1" applyFill="1" applyBorder="1" applyProtection="1">
      <protection locked="0"/>
    </xf>
    <xf numFmtId="0" fontId="23" fillId="0" borderId="2" xfId="0" applyFont="1" applyBorder="1" applyAlignment="1">
      <alignment vertical="center" wrapText="1"/>
    </xf>
    <xf numFmtId="0" fontId="63" fillId="0" borderId="0" xfId="0" applyFont="1"/>
    <xf numFmtId="0" fontId="2" fillId="0" borderId="0" xfId="0" applyFont="1"/>
    <xf numFmtId="0" fontId="2" fillId="14" borderId="0" xfId="0" applyFont="1" applyFill="1"/>
    <xf numFmtId="0" fontId="2" fillId="3" borderId="6" xfId="0" applyFont="1" applyFill="1" applyBorder="1" applyProtection="1">
      <protection locked="0"/>
    </xf>
    <xf numFmtId="0" fontId="2" fillId="0" borderId="2" xfId="0" applyFont="1" applyBorder="1" applyProtection="1">
      <protection locked="0"/>
    </xf>
    <xf numFmtId="0" fontId="7" fillId="3" borderId="6" xfId="0" applyFont="1" applyFill="1" applyBorder="1" applyProtection="1">
      <protection locked="0"/>
    </xf>
    <xf numFmtId="0" fontId="2" fillId="0" borderId="2" xfId="0" applyFont="1" applyBorder="1" applyAlignment="1">
      <alignment horizontal="center"/>
    </xf>
    <xf numFmtId="0" fontId="2" fillId="14" borderId="2" xfId="0" applyFont="1" applyFill="1" applyBorder="1"/>
    <xf numFmtId="0" fontId="2" fillId="0" borderId="2" xfId="0" applyFont="1" applyBorder="1"/>
    <xf numFmtId="0" fontId="0" fillId="0" borderId="56" xfId="0" applyBorder="1"/>
    <xf numFmtId="0" fontId="0" fillId="0" borderId="12" xfId="0" applyBorder="1"/>
    <xf numFmtId="0" fontId="0" fillId="0" borderId="43" xfId="0" applyBorder="1"/>
    <xf numFmtId="0" fontId="0" fillId="13" borderId="4" xfId="0" applyFill="1" applyBorder="1"/>
    <xf numFmtId="0" fontId="0" fillId="13" borderId="6" xfId="0" applyFill="1" applyBorder="1"/>
    <xf numFmtId="0" fontId="4" fillId="0" borderId="2" xfId="0" applyFont="1" applyBorder="1" applyAlignment="1">
      <alignment horizontal="center"/>
    </xf>
    <xf numFmtId="0" fontId="76" fillId="0" borderId="2" xfId="0" applyFont="1" applyBorder="1"/>
    <xf numFmtId="0" fontId="1" fillId="0" borderId="0" xfId="0" applyFont="1"/>
    <xf numFmtId="0" fontId="1" fillId="6" borderId="2" xfId="0" applyFont="1" applyFill="1" applyBorder="1"/>
    <xf numFmtId="0" fontId="2" fillId="0" borderId="27" xfId="0" applyFont="1" applyBorder="1"/>
    <xf numFmtId="0" fontId="2" fillId="0" borderId="6" xfId="0" applyFont="1" applyBorder="1"/>
    <xf numFmtId="14" fontId="2" fillId="0" borderId="6" xfId="0" applyNumberFormat="1" applyFont="1" applyBorder="1"/>
    <xf numFmtId="20" fontId="2" fillId="0" borderId="6" xfId="0" applyNumberFormat="1" applyFont="1" applyBorder="1"/>
    <xf numFmtId="14" fontId="2" fillId="0" borderId="71" xfId="0" applyNumberFormat="1" applyFont="1" applyBorder="1"/>
    <xf numFmtId="14" fontId="2" fillId="0" borderId="70" xfId="0" applyNumberFormat="1" applyFont="1" applyBorder="1"/>
    <xf numFmtId="14" fontId="2" fillId="0" borderId="27" xfId="0" applyNumberFormat="1" applyFont="1" applyBorder="1"/>
    <xf numFmtId="14" fontId="2" fillId="0" borderId="2" xfId="0" applyNumberFormat="1" applyFont="1" applyBorder="1"/>
    <xf numFmtId="14" fontId="2" fillId="0" borderId="28" xfId="0" applyNumberFormat="1" applyFont="1" applyBorder="1"/>
    <xf numFmtId="0" fontId="1" fillId="0" borderId="2" xfId="0" applyFont="1" applyBorder="1"/>
    <xf numFmtId="14" fontId="2" fillId="0" borderId="0" xfId="0" applyNumberFormat="1" applyFont="1"/>
    <xf numFmtId="20" fontId="2" fillId="0" borderId="2" xfId="0" applyNumberFormat="1" applyFont="1" applyBorder="1"/>
    <xf numFmtId="0" fontId="67" fillId="0" borderId="43" xfId="0" applyFont="1" applyBorder="1" applyAlignment="1">
      <alignment horizontal="center"/>
    </xf>
    <xf numFmtId="0" fontId="67" fillId="0" borderId="8" xfId="0" applyFont="1" applyBorder="1" applyAlignment="1">
      <alignment horizontal="center"/>
    </xf>
    <xf numFmtId="0" fontId="2" fillId="0" borderId="29" xfId="0" applyFont="1" applyBorder="1"/>
    <xf numFmtId="0" fontId="2" fillId="0" borderId="73" xfId="0" applyFont="1" applyBorder="1"/>
    <xf numFmtId="14" fontId="2" fillId="0" borderId="73" xfId="0" applyNumberFormat="1" applyFont="1" applyBorder="1"/>
    <xf numFmtId="20" fontId="2" fillId="0" borderId="73" xfId="0" applyNumberFormat="1" applyFont="1" applyBorder="1"/>
    <xf numFmtId="14" fontId="2" fillId="0" borderId="74" xfId="0" applyNumberFormat="1" applyFont="1" applyBorder="1"/>
    <xf numFmtId="14" fontId="2" fillId="0" borderId="72" xfId="0" applyNumberFormat="1" applyFont="1" applyBorder="1"/>
    <xf numFmtId="14" fontId="2" fillId="0" borderId="29" xfId="0" applyNumberFormat="1" applyFont="1" applyBorder="1"/>
    <xf numFmtId="14" fontId="2" fillId="0" borderId="30" xfId="0" applyNumberFormat="1" applyFont="1" applyBorder="1"/>
    <xf numFmtId="14" fontId="2" fillId="0" borderId="31" xfId="0" applyNumberFormat="1" applyFont="1" applyBorder="1"/>
    <xf numFmtId="0" fontId="67" fillId="0" borderId="55" xfId="0" applyFont="1" applyBorder="1" applyAlignment="1">
      <alignment horizontal="center"/>
    </xf>
    <xf numFmtId="0" fontId="67" fillId="0" borderId="14" xfId="0" applyFont="1" applyBorder="1"/>
    <xf numFmtId="0" fontId="63" fillId="0" borderId="14" xfId="0" applyFont="1" applyBorder="1"/>
    <xf numFmtId="0" fontId="67" fillId="0" borderId="15" xfId="0" applyFont="1" applyBorder="1"/>
    <xf numFmtId="0" fontId="63" fillId="0" borderId="63" xfId="0" applyFont="1" applyBorder="1" applyAlignment="1">
      <alignment horizontal="center"/>
    </xf>
    <xf numFmtId="0" fontId="63" fillId="0" borderId="35" xfId="0" applyFont="1" applyBorder="1"/>
    <xf numFmtId="0" fontId="63" fillId="0" borderId="23" xfId="0" applyFont="1" applyBorder="1"/>
    <xf numFmtId="0" fontId="63" fillId="0" borderId="60" xfId="0" applyFont="1" applyBorder="1"/>
    <xf numFmtId="0" fontId="63" fillId="0" borderId="66" xfId="0" applyFont="1" applyBorder="1"/>
    <xf numFmtId="0" fontId="63" fillId="0" borderId="67" xfId="0" applyFont="1" applyBorder="1"/>
    <xf numFmtId="0" fontId="2" fillId="11" borderId="2" xfId="0" applyFont="1" applyFill="1" applyBorder="1" applyProtection="1">
      <protection locked="0"/>
    </xf>
    <xf numFmtId="0" fontId="1" fillId="3" borderId="56" xfId="0" applyFont="1" applyFill="1" applyBorder="1" applyProtection="1">
      <protection locked="0"/>
    </xf>
    <xf numFmtId="0" fontId="2" fillId="3" borderId="56" xfId="0" applyFont="1" applyFill="1" applyBorder="1" applyProtection="1">
      <protection locked="0"/>
    </xf>
    <xf numFmtId="0" fontId="20" fillId="14" borderId="0" xfId="0" applyFont="1" applyFill="1"/>
    <xf numFmtId="0" fontId="23" fillId="14" borderId="0" xfId="0" applyFont="1" applyFill="1"/>
    <xf numFmtId="0" fontId="21" fillId="14" borderId="0" xfId="0" applyFont="1" applyFill="1"/>
    <xf numFmtId="0" fontId="0" fillId="14" borderId="0" xfId="0" applyFill="1" applyAlignment="1">
      <alignment horizontal="center"/>
    </xf>
    <xf numFmtId="0" fontId="39" fillId="13" borderId="4" xfId="0" applyFont="1" applyFill="1" applyBorder="1" applyAlignment="1">
      <alignment horizontal="center"/>
    </xf>
    <xf numFmtId="14" fontId="0" fillId="0" borderId="2" xfId="0" applyNumberFormat="1" applyBorder="1" applyAlignment="1">
      <alignment horizontal="left"/>
    </xf>
    <xf numFmtId="0" fontId="25" fillId="11" borderId="25" xfId="0" applyFont="1" applyFill="1" applyBorder="1" applyProtection="1">
      <protection locked="0"/>
    </xf>
    <xf numFmtId="0" fontId="25" fillId="11" borderId="2" xfId="0" applyFont="1" applyFill="1" applyBorder="1" applyProtection="1">
      <protection locked="0"/>
    </xf>
    <xf numFmtId="0" fontId="25" fillId="11" borderId="30" xfId="0" applyFont="1" applyFill="1" applyBorder="1" applyProtection="1">
      <protection locked="0"/>
    </xf>
    <xf numFmtId="0" fontId="0" fillId="11" borderId="25" xfId="0" applyFill="1" applyBorder="1" applyProtection="1">
      <protection locked="0"/>
    </xf>
    <xf numFmtId="0" fontId="0" fillId="11" borderId="30" xfId="0" applyFill="1" applyBorder="1" applyProtection="1">
      <protection locked="0"/>
    </xf>
    <xf numFmtId="0" fontId="15" fillId="11" borderId="25" xfId="0" applyFont="1" applyFill="1" applyBorder="1" applyProtection="1">
      <protection locked="0"/>
    </xf>
    <xf numFmtId="0" fontId="15" fillId="11" borderId="2" xfId="0" applyFont="1" applyFill="1" applyBorder="1" applyProtection="1">
      <protection locked="0"/>
    </xf>
    <xf numFmtId="0" fontId="15" fillId="11" borderId="30" xfId="0" applyFont="1" applyFill="1" applyBorder="1" applyProtection="1">
      <protection locked="0"/>
    </xf>
    <xf numFmtId="0" fontId="0" fillId="11" borderId="4" xfId="0" applyFill="1" applyBorder="1" applyProtection="1">
      <protection locked="0"/>
    </xf>
    <xf numFmtId="0" fontId="0" fillId="11" borderId="45" xfId="0" applyFill="1" applyBorder="1" applyProtection="1">
      <protection locked="0"/>
    </xf>
    <xf numFmtId="0" fontId="39" fillId="11" borderId="2" xfId="0" applyFont="1" applyFill="1" applyBorder="1" applyAlignment="1" applyProtection="1">
      <alignment horizontal="center"/>
      <protection locked="0"/>
    </xf>
    <xf numFmtId="0" fontId="39" fillId="11" borderId="2" xfId="0" applyFont="1" applyFill="1" applyBorder="1" applyProtection="1">
      <protection locked="0"/>
    </xf>
    <xf numFmtId="0" fontId="15" fillId="3" borderId="0" xfId="0" applyFont="1" applyFill="1" applyProtection="1">
      <protection locked="0"/>
    </xf>
    <xf numFmtId="0" fontId="0" fillId="13" borderId="30" xfId="0" applyFill="1" applyBorder="1" applyAlignment="1">
      <alignment horizontal="center" wrapText="1"/>
    </xf>
    <xf numFmtId="14" fontId="23" fillId="11" borderId="6" xfId="0" applyNumberFormat="1" applyFont="1" applyFill="1" applyBorder="1" applyProtection="1">
      <protection locked="0"/>
    </xf>
    <xf numFmtId="0" fontId="39" fillId="13" borderId="2" xfId="0" applyFont="1" applyFill="1" applyBorder="1" applyAlignment="1">
      <alignment horizontal="center"/>
    </xf>
    <xf numFmtId="0" fontId="14" fillId="13" borderId="2" xfId="0" applyFont="1" applyFill="1" applyBorder="1" applyAlignment="1">
      <alignment horizontal="center" vertical="center"/>
    </xf>
    <xf numFmtId="0" fontId="0" fillId="16" borderId="2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13" borderId="30" xfId="0" applyFill="1" applyBorder="1" applyAlignment="1">
      <alignment wrapText="1"/>
    </xf>
    <xf numFmtId="0" fontId="51" fillId="13" borderId="72" xfId="0" applyFont="1" applyFill="1" applyBorder="1" applyAlignment="1">
      <alignment horizontal="center"/>
    </xf>
    <xf numFmtId="0" fontId="0" fillId="13" borderId="4" xfId="0" applyFill="1" applyBorder="1" applyAlignment="1">
      <alignment horizontal="center" wrapText="1"/>
    </xf>
    <xf numFmtId="0" fontId="0" fillId="13" borderId="6" xfId="0" applyFill="1" applyBorder="1" applyAlignment="1">
      <alignment horizontal="center" wrapText="1"/>
    </xf>
    <xf numFmtId="0" fontId="0" fillId="13" borderId="2" xfId="0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11" xfId="0" applyFont="1" applyBorder="1" applyAlignment="1">
      <alignment horizontal="left"/>
    </xf>
    <xf numFmtId="0" fontId="0" fillId="13" borderId="2" xfId="0" applyFill="1" applyBorder="1" applyAlignment="1">
      <alignment horizontal="center" vertical="center" wrapText="1"/>
    </xf>
    <xf numFmtId="0" fontId="0" fillId="13" borderId="2" xfId="0" applyFill="1" applyBorder="1" applyAlignment="1">
      <alignment horizontal="center"/>
    </xf>
    <xf numFmtId="0" fontId="0" fillId="13" borderId="2" xfId="0" applyFill="1" applyBorder="1" applyAlignment="1">
      <alignment horizontal="center" wrapText="1"/>
    </xf>
    <xf numFmtId="0" fontId="44" fillId="0" borderId="3" xfId="0" applyFont="1" applyBorder="1" applyAlignment="1">
      <alignment horizontal="center" vertical="center" wrapText="1"/>
    </xf>
    <xf numFmtId="0" fontId="44" fillId="0" borderId="16" xfId="0" applyFont="1" applyBorder="1" applyAlignment="1">
      <alignment horizontal="center" vertical="center" wrapText="1"/>
    </xf>
    <xf numFmtId="0" fontId="44" fillId="0" borderId="32" xfId="0" applyFont="1" applyBorder="1" applyAlignment="1">
      <alignment horizontal="center" vertical="center" wrapText="1"/>
    </xf>
    <xf numFmtId="0" fontId="44" fillId="0" borderId="33" xfId="0" applyFont="1" applyBorder="1" applyAlignment="1">
      <alignment horizontal="center" vertical="center" wrapText="1"/>
    </xf>
    <xf numFmtId="0" fontId="44" fillId="0" borderId="34" xfId="0" applyFont="1" applyBorder="1" applyAlignment="1">
      <alignment horizontal="center" vertical="center" wrapText="1"/>
    </xf>
    <xf numFmtId="0" fontId="34" fillId="0" borderId="18" xfId="0" applyFont="1" applyBorder="1" applyAlignment="1">
      <alignment horizontal="left" vertical="center"/>
    </xf>
    <xf numFmtId="0" fontId="34" fillId="0" borderId="19" xfId="0" applyFont="1" applyBorder="1" applyAlignment="1">
      <alignment horizontal="left" vertical="center"/>
    </xf>
    <xf numFmtId="0" fontId="34" fillId="0" borderId="20" xfId="0" applyFont="1" applyBorder="1" applyAlignment="1">
      <alignment horizontal="left" vertical="center"/>
    </xf>
    <xf numFmtId="0" fontId="34" fillId="0" borderId="21" xfId="0" applyFont="1" applyBorder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34" fillId="0" borderId="9" xfId="0" applyFont="1" applyBorder="1" applyAlignment="1">
      <alignment horizontal="left" vertical="center"/>
    </xf>
    <xf numFmtId="14" fontId="34" fillId="0" borderId="21" xfId="0" applyNumberFormat="1" applyFont="1" applyBorder="1" applyAlignment="1">
      <alignment horizontal="left" vertical="center"/>
    </xf>
    <xf numFmtId="0" fontId="34" fillId="0" borderId="22" xfId="0" applyFont="1" applyBorder="1" applyAlignment="1">
      <alignment horizontal="left"/>
    </xf>
    <xf numFmtId="0" fontId="34" fillId="0" borderId="11" xfId="0" applyFont="1" applyBorder="1" applyAlignment="1">
      <alignment horizontal="left"/>
    </xf>
    <xf numFmtId="0" fontId="34" fillId="0" borderId="10" xfId="0" applyFont="1" applyBorder="1" applyAlignment="1">
      <alignment horizontal="left"/>
    </xf>
    <xf numFmtId="0" fontId="47" fillId="0" borderId="3" xfId="0" applyFont="1" applyBorder="1" applyAlignment="1">
      <alignment horizontal="center" vertical="center" wrapText="1"/>
    </xf>
    <xf numFmtId="0" fontId="47" fillId="0" borderId="16" xfId="0" applyFont="1" applyBorder="1" applyAlignment="1">
      <alignment horizontal="center" vertical="center" wrapText="1"/>
    </xf>
    <xf numFmtId="0" fontId="44" fillId="0" borderId="32" xfId="0" applyFont="1" applyBorder="1" applyAlignment="1">
      <alignment vertical="center" wrapText="1"/>
    </xf>
    <xf numFmtId="0" fontId="44" fillId="0" borderId="33" xfId="0" applyFont="1" applyBorder="1" applyAlignment="1">
      <alignment vertical="center" wrapText="1"/>
    </xf>
    <xf numFmtId="0" fontId="44" fillId="0" borderId="51" xfId="0" applyFont="1" applyBorder="1" applyAlignment="1">
      <alignment vertical="center" wrapText="1"/>
    </xf>
    <xf numFmtId="168" fontId="31" fillId="4" borderId="2" xfId="0" applyNumberFormat="1" applyFont="1" applyFill="1" applyBorder="1" applyAlignment="1">
      <alignment horizontal="center" vertical="center" wrapText="1"/>
    </xf>
    <xf numFmtId="4" fontId="27" fillId="4" borderId="2" xfId="0" applyNumberFormat="1" applyFont="1" applyFill="1" applyBorder="1" applyAlignment="1">
      <alignment horizontal="center" vertical="center" wrapText="1"/>
    </xf>
    <xf numFmtId="168" fontId="31" fillId="8" borderId="2" xfId="0" applyNumberFormat="1" applyFont="1" applyFill="1" applyBorder="1" applyAlignment="1">
      <alignment horizontal="center" vertical="center" wrapText="1"/>
    </xf>
    <xf numFmtId="0" fontId="53" fillId="0" borderId="18" xfId="0" applyFont="1" applyBorder="1" applyAlignment="1">
      <alignment horizontal="center" vertical="center" wrapText="1"/>
    </xf>
    <xf numFmtId="0" fontId="53" fillId="0" borderId="19" xfId="0" applyFont="1" applyBorder="1" applyAlignment="1">
      <alignment horizontal="center" vertical="center" wrapText="1"/>
    </xf>
    <xf numFmtId="0" fontId="53" fillId="0" borderId="20" xfId="0" applyFont="1" applyBorder="1" applyAlignment="1">
      <alignment horizontal="center" vertical="center" wrapText="1"/>
    </xf>
    <xf numFmtId="0" fontId="53" fillId="0" borderId="21" xfId="0" applyFont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9" xfId="0" applyFont="1" applyBorder="1" applyAlignment="1">
      <alignment horizontal="center" vertical="center" wrapText="1"/>
    </xf>
    <xf numFmtId="0" fontId="53" fillId="0" borderId="22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0" xfId="0" applyFont="1" applyBorder="1" applyAlignment="1">
      <alignment horizontal="center" vertical="center" wrapText="1"/>
    </xf>
    <xf numFmtId="0" fontId="54" fillId="0" borderId="18" xfId="0" applyFont="1" applyBorder="1" applyAlignment="1">
      <alignment horizontal="center" vertical="center" wrapText="1"/>
    </xf>
    <xf numFmtId="0" fontId="55" fillId="0" borderId="19" xfId="0" applyFont="1" applyBorder="1" applyAlignment="1">
      <alignment horizontal="center" vertical="center" wrapText="1"/>
    </xf>
    <xf numFmtId="0" fontId="55" fillId="0" borderId="20" xfId="0" applyFont="1" applyBorder="1" applyAlignment="1">
      <alignment horizontal="center" vertical="center" wrapText="1"/>
    </xf>
    <xf numFmtId="0" fontId="55" fillId="0" borderId="21" xfId="0" applyFont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9" xfId="0" applyFont="1" applyBorder="1" applyAlignment="1">
      <alignment horizontal="center" vertical="center" wrapText="1"/>
    </xf>
    <xf numFmtId="0" fontId="55" fillId="0" borderId="22" xfId="0" applyFont="1" applyBorder="1" applyAlignment="1">
      <alignment horizontal="center" vertical="center" wrapText="1"/>
    </xf>
    <xf numFmtId="0" fontId="55" fillId="0" borderId="11" xfId="0" applyFont="1" applyBorder="1" applyAlignment="1">
      <alignment horizontal="center" vertical="center" wrapText="1"/>
    </xf>
    <xf numFmtId="0" fontId="55" fillId="0" borderId="10" xfId="0" applyFont="1" applyBorder="1" applyAlignment="1">
      <alignment horizontal="center" vertical="center" wrapText="1"/>
    </xf>
    <xf numFmtId="14" fontId="18" fillId="8" borderId="2" xfId="0" applyNumberFormat="1" applyFont="1" applyFill="1" applyBorder="1" applyAlignment="1">
      <alignment horizontal="center" vertical="center" wrapText="1"/>
    </xf>
    <xf numFmtId="14" fontId="27" fillId="4" borderId="2" xfId="0" applyNumberFormat="1" applyFont="1" applyFill="1" applyBorder="1" applyAlignment="1">
      <alignment horizontal="center" vertical="center" wrapText="1"/>
    </xf>
    <xf numFmtId="14" fontId="18" fillId="4" borderId="2" xfId="0" applyNumberFormat="1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14" fontId="18" fillId="8" borderId="4" xfId="0" applyNumberFormat="1" applyFont="1" applyFill="1" applyBorder="1" applyAlignment="1">
      <alignment horizontal="center" vertical="center" wrapText="1"/>
    </xf>
    <xf numFmtId="14" fontId="18" fillId="8" borderId="6" xfId="0" applyNumberFormat="1" applyFont="1" applyFill="1" applyBorder="1" applyAlignment="1">
      <alignment horizontal="center" vertical="center" wrapText="1"/>
    </xf>
    <xf numFmtId="3" fontId="27" fillId="4" borderId="2" xfId="0" applyNumberFormat="1" applyFont="1" applyFill="1" applyBorder="1" applyAlignment="1">
      <alignment horizontal="center" vertical="center" wrapText="1"/>
    </xf>
    <xf numFmtId="168" fontId="27" fillId="4" borderId="2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left"/>
    </xf>
    <xf numFmtId="0" fontId="0" fillId="13" borderId="18" xfId="0" applyFill="1" applyBorder="1" applyAlignment="1">
      <alignment horizontal="center" vertical="center" wrapText="1"/>
    </xf>
    <xf numFmtId="0" fontId="0" fillId="13" borderId="19" xfId="0" applyFill="1" applyBorder="1" applyAlignment="1">
      <alignment horizontal="center" vertical="center" wrapText="1"/>
    </xf>
    <xf numFmtId="0" fontId="0" fillId="13" borderId="20" xfId="0" applyFill="1" applyBorder="1" applyAlignment="1">
      <alignment horizontal="center" vertical="center" wrapText="1"/>
    </xf>
    <xf numFmtId="0" fontId="0" fillId="13" borderId="22" xfId="0" applyFill="1" applyBorder="1" applyAlignment="1">
      <alignment horizontal="center" vertical="center" wrapText="1"/>
    </xf>
    <xf numFmtId="0" fontId="0" fillId="13" borderId="11" xfId="0" applyFill="1" applyBorder="1" applyAlignment="1">
      <alignment horizontal="center" vertical="center" wrapText="1"/>
    </xf>
    <xf numFmtId="0" fontId="0" fillId="13" borderId="10" xfId="0" applyFill="1" applyBorder="1" applyAlignment="1">
      <alignment horizontal="center" vertical="center" wrapText="1"/>
    </xf>
    <xf numFmtId="0" fontId="39" fillId="13" borderId="18" xfId="0" applyFont="1" applyFill="1" applyBorder="1" applyAlignment="1">
      <alignment horizontal="center" vertical="center"/>
    </xf>
    <xf numFmtId="0" fontId="39" fillId="13" borderId="19" xfId="0" applyFont="1" applyFill="1" applyBorder="1" applyAlignment="1">
      <alignment horizontal="center" vertical="center"/>
    </xf>
    <xf numFmtId="0" fontId="39" fillId="13" borderId="20" xfId="0" applyFont="1" applyFill="1" applyBorder="1" applyAlignment="1">
      <alignment horizontal="center" vertical="center"/>
    </xf>
    <xf numFmtId="0" fontId="39" fillId="13" borderId="22" xfId="0" applyFont="1" applyFill="1" applyBorder="1" applyAlignment="1">
      <alignment horizontal="center" vertical="center"/>
    </xf>
    <xf numFmtId="0" fontId="39" fillId="13" borderId="11" xfId="0" applyFont="1" applyFill="1" applyBorder="1" applyAlignment="1">
      <alignment horizontal="center" vertical="center"/>
    </xf>
    <xf numFmtId="0" fontId="39" fillId="13" borderId="10" xfId="0" applyFont="1" applyFill="1" applyBorder="1" applyAlignment="1">
      <alignment horizontal="center" vertical="center"/>
    </xf>
    <xf numFmtId="0" fontId="0" fillId="13" borderId="24" xfId="0" applyFill="1" applyBorder="1" applyAlignment="1">
      <alignment horizontal="center" vertical="center" wrapText="1"/>
    </xf>
    <xf numFmtId="0" fontId="0" fillId="13" borderId="25" xfId="0" applyFill="1" applyBorder="1" applyAlignment="1">
      <alignment horizontal="center" vertical="center"/>
    </xf>
    <xf numFmtId="0" fontId="0" fillId="13" borderId="27" xfId="0" applyFill="1" applyBorder="1" applyAlignment="1">
      <alignment horizontal="center" vertical="center"/>
    </xf>
    <xf numFmtId="0" fontId="0" fillId="13" borderId="55" xfId="0" applyFill="1" applyBorder="1" applyAlignment="1">
      <alignment horizontal="center" vertical="center"/>
    </xf>
    <xf numFmtId="0" fontId="0" fillId="13" borderId="30" xfId="0" applyFill="1" applyBorder="1" applyAlignment="1">
      <alignment horizontal="center" vertical="center"/>
    </xf>
    <xf numFmtId="0" fontId="0" fillId="13" borderId="54" xfId="0" applyFill="1" applyBorder="1" applyAlignment="1">
      <alignment horizontal="center" vertical="center"/>
    </xf>
    <xf numFmtId="0" fontId="0" fillId="13" borderId="43" xfId="0" applyFill="1" applyBorder="1" applyAlignment="1">
      <alignment horizontal="center" vertical="center"/>
    </xf>
    <xf numFmtId="0" fontId="39" fillId="13" borderId="2" xfId="0" applyFont="1" applyFill="1" applyBorder="1" applyAlignment="1">
      <alignment horizontal="center" vertical="center"/>
    </xf>
    <xf numFmtId="0" fontId="39" fillId="13" borderId="30" xfId="0" applyFont="1" applyFill="1" applyBorder="1" applyAlignment="1">
      <alignment horizontal="center" vertical="center"/>
    </xf>
    <xf numFmtId="0" fontId="0" fillId="13" borderId="54" xfId="0" applyFill="1" applyBorder="1" applyAlignment="1">
      <alignment horizontal="center" wrapText="1"/>
    </xf>
    <xf numFmtId="0" fontId="0" fillId="13" borderId="43" xfId="0" applyFill="1" applyBorder="1" applyAlignment="1">
      <alignment horizontal="center" wrapText="1"/>
    </xf>
    <xf numFmtId="0" fontId="0" fillId="13" borderId="25" xfId="0" applyFill="1" applyBorder="1" applyAlignment="1">
      <alignment horizontal="center" wrapText="1"/>
    </xf>
    <xf numFmtId="0" fontId="0" fillId="13" borderId="58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13" borderId="54" xfId="0" applyFill="1" applyBorder="1" applyAlignment="1">
      <alignment horizontal="center"/>
    </xf>
    <xf numFmtId="0" fontId="11" fillId="13" borderId="35" xfId="0" applyFont="1" applyFill="1" applyBorder="1" applyAlignment="1">
      <alignment horizontal="center" wrapText="1"/>
    </xf>
    <xf numFmtId="0" fontId="11" fillId="13" borderId="52" xfId="0" applyFont="1" applyFill="1" applyBorder="1" applyAlignment="1">
      <alignment horizontal="center" wrapText="1"/>
    </xf>
    <xf numFmtId="0" fontId="11" fillId="13" borderId="53" xfId="0" applyFont="1" applyFill="1" applyBorder="1" applyAlignment="1">
      <alignment horizontal="center" wrapText="1"/>
    </xf>
    <xf numFmtId="0" fontId="0" fillId="13" borderId="56" xfId="0" applyFill="1" applyBorder="1" applyAlignment="1">
      <alignment horizontal="center" wrapText="1"/>
    </xf>
    <xf numFmtId="0" fontId="0" fillId="13" borderId="61" xfId="0" applyFill="1" applyBorder="1" applyAlignment="1">
      <alignment horizontal="center" vertical="center"/>
    </xf>
    <xf numFmtId="0" fontId="0" fillId="13" borderId="23" xfId="0" applyFill="1" applyBorder="1" applyAlignment="1">
      <alignment horizontal="center" vertical="center"/>
    </xf>
    <xf numFmtId="0" fontId="0" fillId="13" borderId="60" xfId="0" applyFill="1" applyBorder="1" applyAlignment="1">
      <alignment horizontal="center" vertical="center"/>
    </xf>
    <xf numFmtId="0" fontId="0" fillId="13" borderId="22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3" borderId="30" xfId="0" applyFill="1" applyBorder="1" applyAlignment="1">
      <alignment horizontal="center"/>
    </xf>
    <xf numFmtId="0" fontId="0" fillId="13" borderId="26" xfId="0" applyFill="1" applyBorder="1" applyAlignment="1">
      <alignment horizontal="center" wrapText="1"/>
    </xf>
    <xf numFmtId="0" fontId="0" fillId="13" borderId="28" xfId="0" applyFill="1" applyBorder="1" applyAlignment="1">
      <alignment horizontal="center" wrapText="1"/>
    </xf>
    <xf numFmtId="0" fontId="0" fillId="13" borderId="31" xfId="0" applyFill="1" applyBorder="1" applyAlignment="1">
      <alignment horizontal="center" wrapText="1"/>
    </xf>
    <xf numFmtId="0" fontId="62" fillId="0" borderId="2" xfId="0" applyFont="1" applyBorder="1" applyAlignment="1">
      <alignment horizontal="center" vertical="center" wrapText="1"/>
    </xf>
    <xf numFmtId="0" fontId="11" fillId="5" borderId="23" xfId="0" applyFont="1" applyFill="1" applyBorder="1" applyAlignment="1">
      <alignment horizontal="center" vertical="center" wrapText="1"/>
    </xf>
    <xf numFmtId="0" fontId="11" fillId="5" borderId="0" xfId="0" applyFont="1" applyFill="1" applyAlignment="1">
      <alignment horizontal="center" vertical="center" wrapText="1"/>
    </xf>
    <xf numFmtId="0" fontId="11" fillId="5" borderId="11" xfId="0" applyFont="1" applyFill="1" applyBorder="1" applyAlignment="1">
      <alignment horizontal="center" vertical="center" wrapText="1"/>
    </xf>
    <xf numFmtId="0" fontId="62" fillId="0" borderId="2" xfId="0" applyFont="1" applyBorder="1" applyAlignment="1">
      <alignment vertical="center" wrapText="1"/>
    </xf>
    <xf numFmtId="0" fontId="41" fillId="0" borderId="21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41" fillId="0" borderId="9" xfId="0" applyFont="1" applyBorder="1" applyAlignment="1">
      <alignment horizontal="left" vertical="center"/>
    </xf>
    <xf numFmtId="0" fontId="41" fillId="0" borderId="22" xfId="0" applyFont="1" applyBorder="1" applyAlignment="1">
      <alignment horizontal="left"/>
    </xf>
    <xf numFmtId="0" fontId="41" fillId="0" borderId="11" xfId="0" applyFont="1" applyBorder="1" applyAlignment="1">
      <alignment horizontal="left"/>
    </xf>
    <xf numFmtId="0" fontId="41" fillId="0" borderId="10" xfId="0" applyFont="1" applyBorder="1" applyAlignment="1">
      <alignment horizontal="left"/>
    </xf>
    <xf numFmtId="0" fontId="60" fillId="0" borderId="18" xfId="0" applyFont="1" applyBorder="1" applyAlignment="1">
      <alignment horizontal="center" vertical="center" wrapText="1"/>
    </xf>
    <xf numFmtId="0" fontId="60" fillId="0" borderId="19" xfId="0" applyFont="1" applyBorder="1" applyAlignment="1">
      <alignment horizontal="center" vertical="center" wrapText="1"/>
    </xf>
    <xf numFmtId="0" fontId="60" fillId="0" borderId="20" xfId="0" applyFont="1" applyBorder="1" applyAlignment="1">
      <alignment horizontal="center" vertical="center" wrapText="1"/>
    </xf>
    <xf numFmtId="0" fontId="60" fillId="0" borderId="2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9" xfId="0" applyFont="1" applyBorder="1" applyAlignment="1">
      <alignment horizontal="center" vertical="center" wrapText="1"/>
    </xf>
    <xf numFmtId="0" fontId="60" fillId="0" borderId="22" xfId="0" applyFont="1" applyBorder="1" applyAlignment="1">
      <alignment horizontal="center" vertical="center" wrapText="1"/>
    </xf>
    <xf numFmtId="0" fontId="60" fillId="0" borderId="11" xfId="0" applyFont="1" applyBorder="1" applyAlignment="1">
      <alignment horizontal="center" vertical="center" wrapText="1"/>
    </xf>
    <xf numFmtId="0" fontId="60" fillId="0" borderId="10" xfId="0" applyFont="1" applyBorder="1" applyAlignment="1">
      <alignment horizontal="center" vertical="center" wrapText="1"/>
    </xf>
    <xf numFmtId="0" fontId="62" fillId="0" borderId="56" xfId="0" applyFont="1" applyBorder="1" applyAlignment="1">
      <alignment horizontal="center" vertical="center" wrapText="1"/>
    </xf>
    <xf numFmtId="0" fontId="62" fillId="0" borderId="12" xfId="0" applyFont="1" applyBorder="1" applyAlignment="1">
      <alignment horizontal="center" vertical="center" wrapText="1"/>
    </xf>
    <xf numFmtId="0" fontId="62" fillId="0" borderId="43" xfId="0" applyFont="1" applyBorder="1" applyAlignment="1">
      <alignment horizontal="center" vertical="center" wrapText="1"/>
    </xf>
    <xf numFmtId="0" fontId="13" fillId="7" borderId="0" xfId="0" applyFont="1" applyFill="1" applyAlignment="1">
      <alignment horizontal="center" wrapText="1"/>
    </xf>
    <xf numFmtId="0" fontId="59" fillId="0" borderId="18" xfId="0" applyFont="1" applyBorder="1" applyAlignment="1">
      <alignment horizontal="center" vertical="center" wrapText="1"/>
    </xf>
    <xf numFmtId="0" fontId="59" fillId="0" borderId="20" xfId="0" applyFont="1" applyBorder="1" applyAlignment="1">
      <alignment horizontal="center" vertical="center"/>
    </xf>
    <xf numFmtId="0" fontId="59" fillId="0" borderId="21" xfId="0" applyFont="1" applyBorder="1" applyAlignment="1">
      <alignment horizontal="center" vertical="center"/>
    </xf>
    <xf numFmtId="0" fontId="59" fillId="0" borderId="9" xfId="0" applyFont="1" applyBorder="1" applyAlignment="1">
      <alignment horizontal="center" vertical="center"/>
    </xf>
    <xf numFmtId="0" fontId="59" fillId="0" borderId="22" xfId="0" applyFont="1" applyBorder="1" applyAlignment="1">
      <alignment horizontal="center" vertical="center"/>
    </xf>
    <xf numFmtId="0" fontId="59" fillId="0" borderId="10" xfId="0" applyFont="1" applyBorder="1" applyAlignment="1">
      <alignment horizontal="center" vertical="center"/>
    </xf>
    <xf numFmtId="0" fontId="41" fillId="0" borderId="18" xfId="0" applyFont="1" applyBorder="1" applyAlignment="1">
      <alignment horizontal="left" vertical="center"/>
    </xf>
    <xf numFmtId="0" fontId="41" fillId="0" borderId="19" xfId="0" applyFont="1" applyBorder="1" applyAlignment="1">
      <alignment horizontal="left" vertical="center"/>
    </xf>
    <xf numFmtId="0" fontId="41" fillId="0" borderId="20" xfId="0" applyFont="1" applyBorder="1" applyAlignment="1">
      <alignment horizontal="left" vertical="center"/>
    </xf>
    <xf numFmtId="0" fontId="11" fillId="5" borderId="2" xfId="0" applyFont="1" applyFill="1" applyBorder="1" applyAlignment="1">
      <alignment horizontal="center" vertical="center" wrapText="1"/>
    </xf>
    <xf numFmtId="0" fontId="75" fillId="7" borderId="35" xfId="0" applyFont="1" applyFill="1" applyBorder="1" applyAlignment="1">
      <alignment horizontal="center"/>
    </xf>
    <xf numFmtId="0" fontId="75" fillId="7" borderId="23" xfId="0" applyFont="1" applyFill="1" applyBorder="1" applyAlignment="1">
      <alignment horizontal="center"/>
    </xf>
    <xf numFmtId="0" fontId="75" fillId="7" borderId="7" xfId="0" applyFont="1" applyFill="1" applyBorder="1" applyAlignment="1">
      <alignment horizontal="center"/>
    </xf>
    <xf numFmtId="0" fontId="75" fillId="7" borderId="49" xfId="0" applyFont="1" applyFill="1" applyBorder="1" applyAlignment="1">
      <alignment horizontal="center"/>
    </xf>
    <xf numFmtId="0" fontId="75" fillId="7" borderId="11" xfId="0" applyFont="1" applyFill="1" applyBorder="1" applyAlignment="1">
      <alignment horizontal="center"/>
    </xf>
    <xf numFmtId="0" fontId="75" fillId="7" borderId="50" xfId="0" applyFont="1" applyFill="1" applyBorder="1" applyAlignment="1">
      <alignment horizontal="center"/>
    </xf>
    <xf numFmtId="0" fontId="11" fillId="5" borderId="4" xfId="0" applyFont="1" applyFill="1" applyBorder="1" applyAlignment="1">
      <alignment horizontal="center" vertical="center" wrapText="1"/>
    </xf>
    <xf numFmtId="0" fontId="11" fillId="5" borderId="5" xfId="0" applyFont="1" applyFill="1" applyBorder="1" applyAlignment="1">
      <alignment horizontal="center" vertical="center" wrapText="1"/>
    </xf>
    <xf numFmtId="0" fontId="11" fillId="5" borderId="6" xfId="0" applyFont="1" applyFill="1" applyBorder="1" applyAlignment="1">
      <alignment horizontal="center" vertical="center" wrapText="1"/>
    </xf>
    <xf numFmtId="0" fontId="11" fillId="5" borderId="42" xfId="0" applyFont="1" applyFill="1" applyBorder="1" applyAlignment="1">
      <alignment horizontal="center" vertical="center" wrapText="1"/>
    </xf>
    <xf numFmtId="0" fontId="11" fillId="5" borderId="69" xfId="0" applyFont="1" applyFill="1" applyBorder="1" applyAlignment="1">
      <alignment horizontal="center" vertical="center" wrapText="1"/>
    </xf>
    <xf numFmtId="0" fontId="11" fillId="5" borderId="71" xfId="0" applyFont="1" applyFill="1" applyBorder="1" applyAlignment="1">
      <alignment horizontal="center" vertical="center" wrapText="1"/>
    </xf>
    <xf numFmtId="0" fontId="11" fillId="5" borderId="38" xfId="0" applyFont="1" applyFill="1" applyBorder="1" applyAlignment="1">
      <alignment horizontal="center" vertical="center" wrapText="1"/>
    </xf>
    <xf numFmtId="0" fontId="11" fillId="5" borderId="68" xfId="0" applyFont="1" applyFill="1" applyBorder="1" applyAlignment="1">
      <alignment horizontal="center" vertical="center" wrapText="1"/>
    </xf>
    <xf numFmtId="0" fontId="11" fillId="5" borderId="70" xfId="0" applyFont="1" applyFill="1" applyBorder="1" applyAlignment="1">
      <alignment horizontal="center" vertical="center" wrapText="1"/>
    </xf>
    <xf numFmtId="0" fontId="75" fillId="7" borderId="35" xfId="0" applyFont="1" applyFill="1" applyBorder="1" applyAlignment="1">
      <alignment horizontal="center" wrapText="1"/>
    </xf>
    <xf numFmtId="0" fontId="75" fillId="7" borderId="23" xfId="0" applyFont="1" applyFill="1" applyBorder="1" applyAlignment="1">
      <alignment horizontal="center" wrapText="1"/>
    </xf>
    <xf numFmtId="0" fontId="75" fillId="7" borderId="7" xfId="0" applyFont="1" applyFill="1" applyBorder="1" applyAlignment="1">
      <alignment horizontal="center" wrapText="1"/>
    </xf>
    <xf numFmtId="0" fontId="75" fillId="7" borderId="49" xfId="0" applyFont="1" applyFill="1" applyBorder="1" applyAlignment="1">
      <alignment horizontal="center" wrapText="1"/>
    </xf>
    <xf numFmtId="0" fontId="75" fillId="7" borderId="11" xfId="0" applyFont="1" applyFill="1" applyBorder="1" applyAlignment="1">
      <alignment horizontal="center" wrapText="1"/>
    </xf>
    <xf numFmtId="0" fontId="75" fillId="7" borderId="50" xfId="0" applyFont="1" applyFill="1" applyBorder="1" applyAlignment="1">
      <alignment horizontal="center" wrapText="1"/>
    </xf>
    <xf numFmtId="0" fontId="64" fillId="0" borderId="35" xfId="0" applyFont="1" applyBorder="1" applyAlignment="1">
      <alignment horizontal="center" vertical="center"/>
    </xf>
    <xf numFmtId="0" fontId="64" fillId="0" borderId="23" xfId="0" applyFont="1" applyBorder="1" applyAlignment="1">
      <alignment horizontal="center" vertical="center"/>
    </xf>
    <xf numFmtId="0" fontId="64" fillId="0" borderId="7" xfId="0" applyFont="1" applyBorder="1" applyAlignment="1">
      <alignment horizontal="center" vertical="center"/>
    </xf>
    <xf numFmtId="0" fontId="64" fillId="0" borderId="49" xfId="0" applyFont="1" applyBorder="1" applyAlignment="1">
      <alignment horizontal="center" vertical="center"/>
    </xf>
    <xf numFmtId="0" fontId="64" fillId="0" borderId="11" xfId="0" applyFont="1" applyBorder="1" applyAlignment="1">
      <alignment horizontal="center" vertical="center"/>
    </xf>
    <xf numFmtId="0" fontId="64" fillId="0" borderId="50" xfId="0" applyFont="1" applyBorder="1" applyAlignment="1">
      <alignment horizontal="center" vertical="center"/>
    </xf>
    <xf numFmtId="0" fontId="63" fillId="0" borderId="17" xfId="0" applyFont="1" applyBorder="1" applyAlignment="1">
      <alignment horizontal="left"/>
    </xf>
    <xf numFmtId="0" fontId="63" fillId="0" borderId="14" xfId="0" applyFont="1" applyBorder="1" applyAlignment="1">
      <alignment horizontal="left"/>
    </xf>
    <xf numFmtId="0" fontId="63" fillId="0" borderId="64" xfId="0" applyFont="1" applyBorder="1" applyAlignment="1">
      <alignment horizontal="left"/>
    </xf>
    <xf numFmtId="0" fontId="63" fillId="0" borderId="19" xfId="0" applyFont="1" applyBorder="1" applyAlignment="1">
      <alignment horizontal="left"/>
    </xf>
    <xf numFmtId="0" fontId="63" fillId="0" borderId="36" xfId="0" applyFont="1" applyBorder="1" applyAlignment="1">
      <alignment horizontal="left"/>
    </xf>
    <xf numFmtId="0" fontId="63" fillId="0" borderId="0" xfId="0" applyFont="1" applyAlignment="1">
      <alignment horizontal="left"/>
    </xf>
    <xf numFmtId="0" fontId="63" fillId="0" borderId="49" xfId="0" applyFont="1" applyBorder="1" applyAlignment="1">
      <alignment horizontal="left"/>
    </xf>
    <xf numFmtId="0" fontId="63" fillId="0" borderId="11" xfId="0" applyFont="1" applyBorder="1" applyAlignment="1">
      <alignment horizontal="left"/>
    </xf>
    <xf numFmtId="0" fontId="67" fillId="0" borderId="17" xfId="0" applyFont="1" applyBorder="1" applyAlignment="1">
      <alignment horizontal="left"/>
    </xf>
    <xf numFmtId="0" fontId="67" fillId="0" borderId="14" xfId="0" applyFont="1" applyBorder="1" applyAlignment="1">
      <alignment horizontal="left"/>
    </xf>
    <xf numFmtId="0" fontId="67" fillId="0" borderId="15" xfId="0" applyFont="1" applyBorder="1" applyAlignment="1">
      <alignment horizontal="left"/>
    </xf>
    <xf numFmtId="0" fontId="63" fillId="0" borderId="65" xfId="0" applyFont="1" applyBorder="1" applyAlignment="1">
      <alignment horizontal="left"/>
    </xf>
    <xf numFmtId="0" fontId="65" fillId="0" borderId="35" xfId="0" applyFont="1" applyBorder="1" applyAlignment="1">
      <alignment horizontal="left"/>
    </xf>
    <xf numFmtId="0" fontId="65" fillId="0" borderId="23" xfId="0" applyFont="1" applyBorder="1" applyAlignment="1">
      <alignment horizontal="left"/>
    </xf>
    <xf numFmtId="0" fontId="65" fillId="0" borderId="7" xfId="0" applyFont="1" applyBorder="1" applyAlignment="1">
      <alignment horizontal="left"/>
    </xf>
    <xf numFmtId="0" fontId="66" fillId="0" borderId="36" xfId="0" applyFont="1" applyBorder="1" applyAlignment="1">
      <alignment horizontal="left"/>
    </xf>
    <xf numFmtId="0" fontId="66" fillId="0" borderId="0" xfId="0" applyFont="1" applyAlignment="1">
      <alignment horizontal="left"/>
    </xf>
    <xf numFmtId="0" fontId="67" fillId="0" borderId="0" xfId="0" applyFont="1" applyAlignment="1">
      <alignment horizontal="left"/>
    </xf>
    <xf numFmtId="0" fontId="67" fillId="0" borderId="13" xfId="0" applyFont="1" applyBorder="1" applyAlignment="1">
      <alignment horizontal="left"/>
    </xf>
    <xf numFmtId="0" fontId="63" fillId="0" borderId="64" xfId="0" applyFont="1" applyBorder="1" applyAlignment="1">
      <alignment horizontal="left" vertical="top"/>
    </xf>
    <xf numFmtId="0" fontId="63" fillId="0" borderId="19" xfId="0" applyFont="1" applyBorder="1" applyAlignment="1">
      <alignment horizontal="left" vertical="top"/>
    </xf>
    <xf numFmtId="0" fontId="63" fillId="0" borderId="49" xfId="0" applyFont="1" applyBorder="1" applyAlignment="1">
      <alignment horizontal="left" vertical="top"/>
    </xf>
    <xf numFmtId="0" fontId="63" fillId="0" borderId="11" xfId="0" applyFont="1" applyBorder="1" applyAlignment="1">
      <alignment horizontal="left" vertical="top"/>
    </xf>
    <xf numFmtId="14" fontId="67" fillId="0" borderId="19" xfId="0" applyNumberFormat="1" applyFont="1" applyBorder="1" applyAlignment="1">
      <alignment horizontal="left"/>
    </xf>
    <xf numFmtId="14" fontId="67" fillId="0" borderId="65" xfId="0" applyNumberFormat="1" applyFont="1" applyBorder="1" applyAlignment="1">
      <alignment horizontal="left"/>
    </xf>
    <xf numFmtId="14" fontId="67" fillId="0" borderId="0" xfId="0" applyNumberFormat="1" applyFont="1" applyAlignment="1">
      <alignment horizontal="left"/>
    </xf>
    <xf numFmtId="14" fontId="67" fillId="0" borderId="13" xfId="0" applyNumberFormat="1" applyFont="1" applyBorder="1" applyAlignment="1">
      <alignment horizontal="left"/>
    </xf>
    <xf numFmtId="14" fontId="67" fillId="0" borderId="11" xfId="0" applyNumberFormat="1" applyFont="1" applyBorder="1" applyAlignment="1">
      <alignment horizontal="left"/>
    </xf>
    <xf numFmtId="14" fontId="67" fillId="0" borderId="50" xfId="0" applyNumberFormat="1" applyFont="1" applyBorder="1" applyAlignment="1">
      <alignment horizontal="left"/>
    </xf>
    <xf numFmtId="0" fontId="67" fillId="0" borderId="19" xfId="0" applyFont="1" applyBorder="1" applyAlignment="1">
      <alignment horizontal="left"/>
    </xf>
    <xf numFmtId="0" fontId="67" fillId="0" borderId="65" xfId="0" applyFont="1" applyBorder="1" applyAlignment="1">
      <alignment horizontal="left"/>
    </xf>
    <xf numFmtId="0" fontId="67" fillId="0" borderId="11" xfId="0" applyFont="1" applyBorder="1" applyAlignment="1">
      <alignment horizontal="left"/>
    </xf>
    <xf numFmtId="0" fontId="67" fillId="0" borderId="50" xfId="0" applyFont="1" applyBorder="1" applyAlignment="1">
      <alignment horizontal="left"/>
    </xf>
    <xf numFmtId="0" fontId="69" fillId="0" borderId="41" xfId="0" applyFont="1" applyBorder="1" applyAlignment="1">
      <alignment horizontal="left" vertical="center" wrapText="1"/>
    </xf>
    <xf numFmtId="0" fontId="69" fillId="0" borderId="12" xfId="0" applyFont="1" applyBorder="1" applyAlignment="1">
      <alignment horizontal="left" vertical="center" wrapText="1"/>
    </xf>
    <xf numFmtId="0" fontId="63" fillId="0" borderId="13" xfId="0" applyFont="1" applyBorder="1" applyAlignment="1">
      <alignment horizontal="left"/>
    </xf>
    <xf numFmtId="0" fontId="65" fillId="0" borderId="17" xfId="0" applyFont="1" applyBorder="1" applyAlignment="1">
      <alignment horizontal="left"/>
    </xf>
    <xf numFmtId="0" fontId="65" fillId="0" borderId="14" xfId="0" applyFont="1" applyBorder="1" applyAlignment="1">
      <alignment horizontal="left"/>
    </xf>
    <xf numFmtId="0" fontId="68" fillId="0" borderId="40" xfId="0" applyFont="1" applyBorder="1" applyAlignment="1">
      <alignment horizontal="left"/>
    </xf>
    <xf numFmtId="0" fontId="68" fillId="0" borderId="37" xfId="0" applyFont="1" applyBorder="1" applyAlignment="1">
      <alignment horizontal="left"/>
    </xf>
    <xf numFmtId="0" fontId="68" fillId="0" borderId="39" xfId="0" applyFont="1" applyBorder="1" applyAlignment="1">
      <alignment horizontal="left"/>
    </xf>
    <xf numFmtId="0" fontId="63" fillId="0" borderId="40" xfId="0" applyFont="1" applyBorder="1" applyAlignment="1">
      <alignment horizontal="left"/>
    </xf>
    <xf numFmtId="0" fontId="63" fillId="0" borderId="37" xfId="0" applyFont="1" applyBorder="1" applyAlignment="1">
      <alignment horizontal="left"/>
    </xf>
    <xf numFmtId="0" fontId="67" fillId="0" borderId="37" xfId="0" applyFont="1" applyBorder="1" applyAlignment="1">
      <alignment horizontal="left"/>
    </xf>
    <xf numFmtId="0" fontId="67" fillId="0" borderId="39" xfId="0" applyFont="1" applyBorder="1" applyAlignment="1">
      <alignment horizontal="left"/>
    </xf>
    <xf numFmtId="0" fontId="63" fillId="0" borderId="49" xfId="0" applyFont="1" applyBorder="1" applyAlignment="1">
      <alignment horizontal="center"/>
    </xf>
    <xf numFmtId="0" fontId="63" fillId="0" borderId="11" xfId="0" applyFont="1" applyBorder="1" applyAlignment="1">
      <alignment horizontal="center"/>
    </xf>
    <xf numFmtId="0" fontId="63" fillId="0" borderId="50" xfId="0" applyFont="1" applyBorder="1" applyAlignment="1">
      <alignment horizontal="center"/>
    </xf>
    <xf numFmtId="0" fontId="74" fillId="0" borderId="14" xfId="0" applyFont="1" applyBorder="1" applyAlignment="1">
      <alignment horizontal="center"/>
    </xf>
    <xf numFmtId="0" fontId="67" fillId="0" borderId="14" xfId="0" applyFont="1" applyBorder="1" applyAlignment="1">
      <alignment horizontal="center"/>
    </xf>
    <xf numFmtId="0" fontId="63" fillId="0" borderId="62" xfId="0" applyFont="1" applyBorder="1" applyAlignment="1">
      <alignment horizontal="left"/>
    </xf>
    <xf numFmtId="0" fontId="63" fillId="0" borderId="63" xfId="0" applyFont="1" applyBorder="1" applyAlignment="1">
      <alignment horizontal="left"/>
    </xf>
    <xf numFmtId="0" fontId="63" fillId="0" borderId="41" xfId="0" applyFont="1" applyBorder="1" applyAlignment="1">
      <alignment horizontal="left"/>
    </xf>
    <xf numFmtId="0" fontId="63" fillId="0" borderId="12" xfId="0" applyFont="1" applyBorder="1" applyAlignment="1">
      <alignment horizontal="left"/>
    </xf>
    <xf numFmtId="0" fontId="67" fillId="0" borderId="12" xfId="0" applyFont="1" applyBorder="1" applyAlignment="1">
      <alignment horizontal="left"/>
    </xf>
    <xf numFmtId="0" fontId="67" fillId="0" borderId="8" xfId="0" applyFont="1" applyBorder="1" applyAlignment="1">
      <alignment horizontal="left"/>
    </xf>
    <xf numFmtId="0" fontId="67" fillId="0" borderId="61" xfId="0" applyFont="1" applyBorder="1" applyAlignment="1">
      <alignment horizontal="center" vertical="center" wrapText="1"/>
    </xf>
    <xf numFmtId="0" fontId="67" fillId="0" borderId="23" xfId="0" applyFont="1" applyBorder="1" applyAlignment="1">
      <alignment horizontal="center" vertical="center" wrapText="1"/>
    </xf>
    <xf numFmtId="0" fontId="67" fillId="0" borderId="7" xfId="0" applyFont="1" applyBorder="1" applyAlignment="1">
      <alignment horizontal="center" vertical="center" wrapText="1"/>
    </xf>
    <xf numFmtId="0" fontId="67" fillId="0" borderId="21" xfId="0" applyFont="1" applyBorder="1" applyAlignment="1">
      <alignment horizontal="center" vertical="center" wrapText="1"/>
    </xf>
    <xf numFmtId="0" fontId="67" fillId="0" borderId="0" xfId="0" applyFont="1" applyAlignment="1">
      <alignment horizontal="center"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22" xfId="0" applyFont="1" applyBorder="1" applyAlignment="1">
      <alignment horizontal="center" vertical="center" wrapText="1"/>
    </xf>
    <xf numFmtId="0" fontId="67" fillId="0" borderId="11" xfId="0" applyFont="1" applyBorder="1" applyAlignment="1">
      <alignment horizontal="center" vertical="center" wrapText="1"/>
    </xf>
    <xf numFmtId="0" fontId="67" fillId="0" borderId="50" xfId="0" applyFont="1" applyBorder="1" applyAlignment="1">
      <alignment horizontal="center" vertical="center" wrapText="1"/>
    </xf>
    <xf numFmtId="0" fontId="63" fillId="0" borderId="35" xfId="0" applyFont="1" applyBorder="1" applyAlignment="1">
      <alignment horizontal="center"/>
    </xf>
    <xf numFmtId="0" fontId="63" fillId="0" borderId="23" xfId="0" applyFont="1" applyBorder="1" applyAlignment="1">
      <alignment horizontal="center"/>
    </xf>
    <xf numFmtId="0" fontId="63" fillId="0" borderId="60" xfId="0" applyFont="1" applyBorder="1" applyAlignment="1">
      <alignment horizontal="center"/>
    </xf>
    <xf numFmtId="0" fontId="63" fillId="0" borderId="36" xfId="0" applyFont="1" applyBorder="1" applyAlignment="1">
      <alignment horizontal="center"/>
    </xf>
    <xf numFmtId="0" fontId="63" fillId="0" borderId="0" xfId="0" applyFont="1" applyAlignment="1">
      <alignment horizontal="center"/>
    </xf>
    <xf numFmtId="0" fontId="63" fillId="0" borderId="9" xfId="0" applyFont="1" applyBorder="1" applyAlignment="1">
      <alignment horizontal="center"/>
    </xf>
    <xf numFmtId="0" fontId="63" fillId="0" borderId="10" xfId="0" applyFont="1" applyBorder="1" applyAlignment="1">
      <alignment horizontal="center"/>
    </xf>
    <xf numFmtId="0" fontId="63" fillId="0" borderId="62" xfId="0" applyFont="1" applyBorder="1" applyAlignment="1">
      <alignment horizontal="center" vertical="center"/>
    </xf>
    <xf numFmtId="0" fontId="63" fillId="0" borderId="63" xfId="0" applyFont="1" applyBorder="1" applyAlignment="1">
      <alignment horizontal="center" vertical="center"/>
    </xf>
    <xf numFmtId="0" fontId="63" fillId="0" borderId="59" xfId="0" applyFont="1" applyBorder="1" applyAlignment="1">
      <alignment horizontal="center" vertical="center"/>
    </xf>
    <xf numFmtId="20" fontId="67" fillId="0" borderId="63" xfId="0" applyNumberFormat="1" applyFont="1" applyBorder="1" applyAlignment="1">
      <alignment horizontal="right"/>
    </xf>
    <xf numFmtId="0" fontId="67" fillId="0" borderId="63" xfId="0" applyFont="1" applyBorder="1" applyAlignment="1">
      <alignment horizontal="right"/>
    </xf>
    <xf numFmtId="20" fontId="67" fillId="0" borderId="63" xfId="0" applyNumberFormat="1" applyFont="1" applyBorder="1" applyAlignment="1">
      <alignment horizontal="left"/>
    </xf>
    <xf numFmtId="0" fontId="67" fillId="0" borderId="63" xfId="0" applyFont="1" applyBorder="1" applyAlignment="1">
      <alignment horizontal="left"/>
    </xf>
    <xf numFmtId="0" fontId="67" fillId="0" borderId="59" xfId="0" applyFont="1" applyBorder="1" applyAlignment="1">
      <alignment horizontal="left"/>
    </xf>
    <xf numFmtId="14" fontId="67" fillId="0" borderId="63" xfId="0" applyNumberFormat="1" applyFont="1" applyBorder="1" applyAlignment="1">
      <alignment horizontal="right"/>
    </xf>
    <xf numFmtId="0" fontId="67" fillId="0" borderId="56" xfId="0" applyFont="1" applyBorder="1" applyAlignment="1">
      <alignment horizontal="left"/>
    </xf>
    <xf numFmtId="0" fontId="67" fillId="0" borderId="35" xfId="0" applyFont="1" applyBorder="1" applyAlignment="1">
      <alignment horizontal="center"/>
    </xf>
    <xf numFmtId="0" fontId="67" fillId="0" borderId="23" xfId="0" applyFont="1" applyBorder="1" applyAlignment="1">
      <alignment horizontal="center"/>
    </xf>
    <xf numFmtId="0" fontId="67" fillId="0" borderId="7" xfId="0" applyFont="1" applyBorder="1" applyAlignment="1">
      <alignment horizontal="center"/>
    </xf>
    <xf numFmtId="0" fontId="69" fillId="0" borderId="56" xfId="0" applyFont="1" applyBorder="1" applyAlignment="1">
      <alignment horizontal="left" vertical="center" wrapText="1"/>
    </xf>
    <xf numFmtId="0" fontId="69" fillId="0" borderId="57" xfId="0" applyFont="1" applyBorder="1" applyAlignment="1">
      <alignment horizontal="left" vertical="center" wrapText="1"/>
    </xf>
    <xf numFmtId="0" fontId="69" fillId="0" borderId="63" xfId="0" applyFont="1" applyBorder="1" applyAlignment="1">
      <alignment horizontal="left" vertical="center" wrapText="1"/>
    </xf>
    <xf numFmtId="0" fontId="69" fillId="0" borderId="62" xfId="0" applyFont="1" applyBorder="1" applyAlignment="1">
      <alignment horizontal="left" vertical="center" wrapText="1"/>
    </xf>
    <xf numFmtId="0" fontId="63" fillId="0" borderId="67" xfId="0" applyFont="1" applyBorder="1" applyAlignment="1">
      <alignment horizontal="left"/>
    </xf>
    <xf numFmtId="0" fontId="69" fillId="0" borderId="18" xfId="0" applyFont="1" applyBorder="1" applyAlignment="1">
      <alignment horizontal="left"/>
    </xf>
    <xf numFmtId="0" fontId="69" fillId="0" borderId="19" xfId="0" applyFont="1" applyBorder="1" applyAlignment="1">
      <alignment horizontal="left"/>
    </xf>
    <xf numFmtId="0" fontId="69" fillId="0" borderId="65" xfId="0" applyFont="1" applyBorder="1" applyAlignment="1">
      <alignment horizontal="left"/>
    </xf>
    <xf numFmtId="0" fontId="71" fillId="0" borderId="21" xfId="0" applyFont="1" applyBorder="1" applyAlignment="1">
      <alignment horizontal="left" vertical="top" wrapText="1"/>
    </xf>
    <xf numFmtId="0" fontId="71" fillId="0" borderId="0" xfId="0" applyFont="1" applyAlignment="1">
      <alignment horizontal="left" vertical="top" wrapText="1"/>
    </xf>
    <xf numFmtId="0" fontId="71" fillId="0" borderId="13" xfId="0" applyFont="1" applyBorder="1" applyAlignment="1">
      <alignment horizontal="left" vertical="top" wrapText="1"/>
    </xf>
    <xf numFmtId="0" fontId="71" fillId="0" borderId="66" xfId="0" applyFont="1" applyBorder="1" applyAlignment="1">
      <alignment horizontal="left" vertical="top" wrapText="1"/>
    </xf>
    <xf numFmtId="0" fontId="71" fillId="0" borderId="14" xfId="0" applyFont="1" applyBorder="1" applyAlignment="1">
      <alignment horizontal="left" vertical="top" wrapText="1"/>
    </xf>
    <xf numFmtId="0" fontId="71" fillId="0" borderId="15" xfId="0" applyFont="1" applyBorder="1" applyAlignment="1">
      <alignment horizontal="left" vertical="top" wrapText="1"/>
    </xf>
    <xf numFmtId="0" fontId="67" fillId="0" borderId="15" xfId="0" applyFont="1" applyBorder="1" applyAlignment="1">
      <alignment horizontal="center"/>
    </xf>
    <xf numFmtId="0" fontId="67" fillId="0" borderId="23" xfId="0" applyFont="1" applyBorder="1" applyAlignment="1">
      <alignment horizontal="left"/>
    </xf>
    <xf numFmtId="0" fontId="67" fillId="0" borderId="7" xfId="0" applyFont="1" applyBorder="1" applyAlignment="1">
      <alignment horizontal="left"/>
    </xf>
    <xf numFmtId="0" fontId="67" fillId="0" borderId="67" xfId="0" applyFont="1" applyBorder="1" applyAlignment="1">
      <alignment horizontal="left"/>
    </xf>
    <xf numFmtId="0" fontId="63" fillId="0" borderId="20" xfId="0" applyFont="1" applyBorder="1" applyAlignment="1">
      <alignment horizontal="left"/>
    </xf>
    <xf numFmtId="0" fontId="63" fillId="0" borderId="66" xfId="0" applyFont="1" applyBorder="1" applyAlignment="1">
      <alignment horizontal="center"/>
    </xf>
    <xf numFmtId="0" fontId="63" fillId="0" borderId="14" xfId="0" applyFont="1" applyBorder="1" applyAlignment="1">
      <alignment horizontal="center"/>
    </xf>
    <xf numFmtId="0" fontId="63" fillId="0" borderId="15" xfId="0" applyFont="1" applyBorder="1" applyAlignment="1">
      <alignment horizontal="center"/>
    </xf>
    <xf numFmtId="0" fontId="63" fillId="0" borderId="18" xfId="0" applyFont="1" applyBorder="1" applyAlignment="1">
      <alignment horizontal="left"/>
    </xf>
    <xf numFmtId="0" fontId="64" fillId="0" borderId="61" xfId="0" applyFont="1" applyBorder="1" applyAlignment="1">
      <alignment horizontal="center" vertical="center"/>
    </xf>
    <xf numFmtId="0" fontId="64" fillId="0" borderId="60" xfId="0" applyFont="1" applyBorder="1" applyAlignment="1">
      <alignment horizontal="center" vertical="center"/>
    </xf>
    <xf numFmtId="0" fontId="64" fillId="0" borderId="66" xfId="0" applyFont="1" applyBorder="1" applyAlignment="1">
      <alignment horizontal="center" vertical="center"/>
    </xf>
    <xf numFmtId="0" fontId="64" fillId="0" borderId="14" xfId="0" applyFont="1" applyBorder="1" applyAlignment="1">
      <alignment horizontal="center" vertical="center"/>
    </xf>
    <xf numFmtId="0" fontId="64" fillId="0" borderId="67" xfId="0" applyFont="1" applyBorder="1" applyAlignment="1">
      <alignment horizontal="center" vertical="center"/>
    </xf>
    <xf numFmtId="0" fontId="63" fillId="0" borderId="61" xfId="0" applyFont="1" applyBorder="1"/>
    <xf numFmtId="0" fontId="63" fillId="0" borderId="23" xfId="0" applyFont="1" applyBorder="1"/>
    <xf numFmtId="0" fontId="63" fillId="0" borderId="60" xfId="0" applyFont="1" applyBorder="1"/>
    <xf numFmtId="0" fontId="63" fillId="0" borderId="66" xfId="0" applyFont="1" applyBorder="1" applyAlignment="1">
      <alignment horizontal="left"/>
    </xf>
    <xf numFmtId="0" fontId="63" fillId="0" borderId="15" xfId="0" applyFont="1" applyBorder="1" applyAlignment="1">
      <alignment horizontal="left"/>
    </xf>
    <xf numFmtId="14" fontId="67" fillId="0" borderId="61" xfId="0" applyNumberFormat="1" applyFont="1" applyBorder="1" applyAlignment="1">
      <alignment horizontal="left"/>
    </xf>
    <xf numFmtId="14" fontId="67" fillId="0" borderId="23" xfId="0" applyNumberFormat="1" applyFont="1" applyBorder="1" applyAlignment="1">
      <alignment horizontal="left"/>
    </xf>
    <xf numFmtId="14" fontId="67" fillId="0" borderId="7" xfId="0" applyNumberFormat="1" applyFont="1" applyBorder="1" applyAlignment="1">
      <alignment horizontal="left"/>
    </xf>
    <xf numFmtId="0" fontId="35" fillId="0" borderId="3" xfId="0" applyFont="1" applyBorder="1" applyAlignment="1">
      <alignment horizontal="center" vertical="center" wrapText="1"/>
    </xf>
    <xf numFmtId="0" fontId="35" fillId="0" borderId="16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2" fillId="0" borderId="22" xfId="0" applyFont="1" applyBorder="1" applyAlignment="1">
      <alignment horizontal="center" vertical="center"/>
    </xf>
    <xf numFmtId="0" fontId="32" fillId="0" borderId="10" xfId="0" applyFont="1" applyBorder="1" applyAlignment="1">
      <alignment horizontal="center" vertical="center"/>
    </xf>
    <xf numFmtId="0" fontId="55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21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33" fillId="0" borderId="11" xfId="0" applyFont="1" applyBorder="1" applyAlignment="1">
      <alignment horizontal="center"/>
    </xf>
    <xf numFmtId="0" fontId="33" fillId="0" borderId="10" xfId="0" applyFont="1" applyBorder="1" applyAlignment="1">
      <alignment horizontal="center"/>
    </xf>
    <xf numFmtId="0" fontId="35" fillId="0" borderId="32" xfId="0" applyFont="1" applyBorder="1" applyAlignment="1">
      <alignment horizontal="center" vertical="center" wrapText="1"/>
    </xf>
    <xf numFmtId="0" fontId="35" fillId="0" borderId="33" xfId="0" applyFont="1" applyBorder="1" applyAlignment="1">
      <alignment horizontal="center" vertical="center" wrapText="1"/>
    </xf>
    <xf numFmtId="0" fontId="35" fillId="0" borderId="34" xfId="0" applyFont="1" applyBorder="1" applyAlignment="1">
      <alignment horizontal="center" vertical="center" wrapText="1"/>
    </xf>
    <xf numFmtId="0" fontId="35" fillId="0" borderId="32" xfId="0" applyFont="1" applyBorder="1" applyAlignment="1">
      <alignment vertical="center" wrapText="1"/>
    </xf>
    <xf numFmtId="0" fontId="35" fillId="0" borderId="33" xfId="0" applyFont="1" applyBorder="1" applyAlignment="1">
      <alignment vertical="center" wrapText="1"/>
    </xf>
    <xf numFmtId="0" fontId="35" fillId="0" borderId="34" xfId="0" applyFont="1" applyBorder="1" applyAlignment="1">
      <alignment vertical="center" wrapText="1"/>
    </xf>
    <xf numFmtId="0" fontId="35" fillId="0" borderId="24" xfId="0" applyFont="1" applyBorder="1" applyAlignment="1">
      <alignment horizontal="center" vertical="center" wrapText="1"/>
    </xf>
    <xf numFmtId="0" fontId="35" fillId="0" borderId="25" xfId="0" applyFont="1" applyBorder="1" applyAlignment="1">
      <alignment horizontal="center" vertical="center" wrapText="1"/>
    </xf>
    <xf numFmtId="0" fontId="35" fillId="0" borderId="26" xfId="0" applyFont="1" applyBorder="1" applyAlignment="1">
      <alignment horizontal="center" vertical="center" wrapText="1"/>
    </xf>
    <xf numFmtId="0" fontId="35" fillId="0" borderId="29" xfId="0" applyFont="1" applyBorder="1" applyAlignment="1">
      <alignment horizontal="center" vertical="center" wrapText="1"/>
    </xf>
    <xf numFmtId="0" fontId="35" fillId="0" borderId="30" xfId="0" applyFont="1" applyBorder="1" applyAlignment="1">
      <alignment horizontal="center" vertical="center" wrapText="1"/>
    </xf>
    <xf numFmtId="0" fontId="35" fillId="0" borderId="31" xfId="0" applyFont="1" applyBorder="1" applyAlignment="1">
      <alignment horizontal="center" vertical="center" wrapText="1"/>
    </xf>
    <xf numFmtId="0" fontId="35" fillId="0" borderId="47" xfId="0" applyFont="1" applyBorder="1" applyAlignment="1">
      <alignment horizontal="center" vertical="center" wrapText="1"/>
    </xf>
    <xf numFmtId="0" fontId="11" fillId="5" borderId="14" xfId="0" applyFont="1" applyFill="1" applyBorder="1" applyAlignment="1">
      <alignment horizontal="center" vertical="center" wrapText="1"/>
    </xf>
    <xf numFmtId="0" fontId="32" fillId="0" borderId="18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left"/>
    </xf>
    <xf numFmtId="0" fontId="6" fillId="0" borderId="39" xfId="0" applyFont="1" applyBorder="1" applyAlignment="1">
      <alignment horizontal="left"/>
    </xf>
    <xf numFmtId="0" fontId="6" fillId="0" borderId="57" xfId="0" applyFont="1" applyBorder="1" applyAlignment="1">
      <alignment horizontal="left"/>
    </xf>
    <xf numFmtId="0" fontId="6" fillId="0" borderId="59" xfId="0" applyFont="1" applyBorder="1" applyAlignment="1">
      <alignment horizontal="left"/>
    </xf>
    <xf numFmtId="0" fontId="11" fillId="5" borderId="35" xfId="0" applyFont="1" applyFill="1" applyBorder="1" applyAlignment="1">
      <alignment horizontal="center" vertical="center" wrapText="1"/>
    </xf>
    <xf numFmtId="0" fontId="11" fillId="5" borderId="36" xfId="0" applyFont="1" applyFill="1" applyBorder="1" applyAlignment="1">
      <alignment horizontal="center" vertical="center" wrapText="1"/>
    </xf>
    <xf numFmtId="0" fontId="11" fillId="5" borderId="7" xfId="0" applyFont="1" applyFill="1" applyBorder="1" applyAlignment="1">
      <alignment horizontal="center" vertical="center" wrapText="1"/>
    </xf>
    <xf numFmtId="0" fontId="11" fillId="5" borderId="13" xfId="0" applyFont="1" applyFill="1" applyBorder="1" applyAlignment="1">
      <alignment horizontal="center" vertical="center" wrapText="1"/>
    </xf>
    <xf numFmtId="0" fontId="13" fillId="7" borderId="36" xfId="0" applyFont="1" applyFill="1" applyBorder="1" applyAlignment="1">
      <alignment horizontal="center" wrapText="1"/>
    </xf>
    <xf numFmtId="0" fontId="13" fillId="7" borderId="17" xfId="0" applyFont="1" applyFill="1" applyBorder="1" applyAlignment="1">
      <alignment horizontal="center" wrapText="1"/>
    </xf>
    <xf numFmtId="0" fontId="13" fillId="7" borderId="14" xfId="0" applyFont="1" applyFill="1" applyBorder="1" applyAlignment="1">
      <alignment horizontal="center" wrapText="1"/>
    </xf>
    <xf numFmtId="0" fontId="35" fillId="0" borderId="35" xfId="0" applyFont="1" applyBorder="1" applyAlignment="1">
      <alignment horizontal="center" vertical="center" wrapText="1"/>
    </xf>
    <xf numFmtId="0" fontId="35" fillId="0" borderId="36" xfId="0" applyFont="1" applyBorder="1" applyAlignment="1">
      <alignment horizontal="center" vertical="center" wrapText="1"/>
    </xf>
    <xf numFmtId="0" fontId="53" fillId="0" borderId="18" xfId="0" applyFont="1" applyBorder="1" applyAlignment="1">
      <alignment horizontal="center" wrapText="1"/>
    </xf>
    <xf numFmtId="0" fontId="12" fillId="12" borderId="1" xfId="0" applyFont="1" applyFill="1" applyBorder="1" applyAlignment="1">
      <alignment horizontal="center" wrapText="1"/>
    </xf>
    <xf numFmtId="0" fontId="11" fillId="9" borderId="3" xfId="0" applyFont="1" applyFill="1" applyBorder="1" applyAlignment="1">
      <alignment horizontal="center" vertical="center"/>
    </xf>
    <xf numFmtId="0" fontId="11" fillId="9" borderId="47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center" vertical="center" wrapText="1"/>
    </xf>
    <xf numFmtId="0" fontId="35" fillId="0" borderId="37" xfId="0" applyFont="1" applyBorder="1" applyAlignment="1">
      <alignment horizontal="center" vertical="center" wrapText="1"/>
    </xf>
    <xf numFmtId="0" fontId="35" fillId="0" borderId="39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center" vertical="center" wrapText="1"/>
    </xf>
    <xf numFmtId="0" fontId="35" fillId="0" borderId="12" xfId="0" applyFont="1" applyBorder="1" applyAlignment="1">
      <alignment horizontal="center" vertical="center" wrapText="1"/>
    </xf>
    <xf numFmtId="0" fontId="35" fillId="0" borderId="8" xfId="0" applyFont="1" applyBorder="1" applyAlignment="1">
      <alignment horizontal="center" vertic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33" fillId="0" borderId="21" xfId="0" applyFont="1" applyBorder="1" applyAlignment="1">
      <alignment horizontal="center" wrapText="1"/>
    </xf>
    <xf numFmtId="0" fontId="33" fillId="0" borderId="0" xfId="0" applyFont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22" xfId="0" applyFont="1" applyBorder="1" applyAlignment="1">
      <alignment horizontal="center" wrapText="1"/>
    </xf>
    <xf numFmtId="0" fontId="33" fillId="0" borderId="11" xfId="0" applyFont="1" applyBorder="1" applyAlignment="1">
      <alignment horizontal="center" wrapText="1"/>
    </xf>
    <xf numFmtId="0" fontId="33" fillId="0" borderId="10" xfId="0" applyFont="1" applyBorder="1" applyAlignment="1">
      <alignment horizontal="center" wrapText="1"/>
    </xf>
    <xf numFmtId="0" fontId="11" fillId="10" borderId="35" xfId="0" applyFont="1" applyFill="1" applyBorder="1" applyAlignment="1">
      <alignment horizontal="center" wrapText="1"/>
    </xf>
    <xf numFmtId="0" fontId="11" fillId="10" borderId="23" xfId="0" applyFont="1" applyFill="1" applyBorder="1" applyAlignment="1">
      <alignment horizontal="center" wrapText="1"/>
    </xf>
    <xf numFmtId="0" fontId="11" fillId="10" borderId="7" xfId="0" applyFont="1" applyFill="1" applyBorder="1" applyAlignment="1">
      <alignment horizontal="center" wrapText="1"/>
    </xf>
    <xf numFmtId="0" fontId="11" fillId="10" borderId="17" xfId="0" applyFont="1" applyFill="1" applyBorder="1" applyAlignment="1">
      <alignment horizontal="center" wrapText="1"/>
    </xf>
    <xf numFmtId="0" fontId="11" fillId="10" borderId="14" xfId="0" applyFont="1" applyFill="1" applyBorder="1" applyAlignment="1">
      <alignment horizontal="center" wrapText="1"/>
    </xf>
    <xf numFmtId="0" fontId="11" fillId="10" borderId="15" xfId="0" applyFont="1" applyFill="1" applyBorder="1" applyAlignment="1">
      <alignment horizontal="center" wrapText="1"/>
    </xf>
    <xf numFmtId="0" fontId="24" fillId="10" borderId="3" xfId="0" applyFont="1" applyFill="1" applyBorder="1" applyAlignment="1">
      <alignment horizontal="center" wrapText="1"/>
    </xf>
    <xf numFmtId="0" fontId="24" fillId="10" borderId="47" xfId="0" applyFont="1" applyFill="1" applyBorder="1" applyAlignment="1">
      <alignment horizontal="center" wrapText="1"/>
    </xf>
    <xf numFmtId="0" fontId="12" fillId="10" borderId="3" xfId="0" applyFont="1" applyFill="1" applyBorder="1" applyAlignment="1">
      <alignment horizontal="center"/>
    </xf>
    <xf numFmtId="0" fontId="12" fillId="10" borderId="47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 wrapText="1"/>
    </xf>
    <xf numFmtId="0" fontId="11" fillId="10" borderId="16" xfId="0" applyFont="1" applyFill="1" applyBorder="1" applyAlignment="1">
      <alignment horizontal="center" wrapText="1"/>
    </xf>
    <xf numFmtId="0" fontId="11" fillId="10" borderId="47" xfId="0" applyFont="1" applyFill="1" applyBorder="1" applyAlignment="1">
      <alignment horizontal="center" wrapText="1"/>
    </xf>
    <xf numFmtId="0" fontId="11" fillId="10" borderId="47" xfId="0" applyFont="1" applyFill="1" applyBorder="1" applyAlignment="1">
      <alignment horizontal="center"/>
    </xf>
    <xf numFmtId="0" fontId="35" fillId="0" borderId="51" xfId="0" applyFont="1" applyBorder="1" applyAlignment="1">
      <alignment horizontal="center" vertical="center" wrapText="1"/>
    </xf>
    <xf numFmtId="0" fontId="35" fillId="0" borderId="7" xfId="0" applyFont="1" applyBorder="1" applyAlignment="1">
      <alignment horizontal="center" vertical="center" wrapText="1"/>
    </xf>
    <xf numFmtId="0" fontId="42" fillId="0" borderId="49" xfId="0" applyFont="1" applyBorder="1" applyAlignment="1">
      <alignment horizontal="center" vertical="center" wrapText="1"/>
    </xf>
    <xf numFmtId="0" fontId="42" fillId="0" borderId="50" xfId="0" applyFont="1" applyBorder="1" applyAlignment="1">
      <alignment horizontal="center" vertical="center" wrapText="1"/>
    </xf>
    <xf numFmtId="0" fontId="11" fillId="10" borderId="36" xfId="0" applyFont="1" applyFill="1" applyBorder="1" applyAlignment="1">
      <alignment horizontal="center" wrapText="1"/>
    </xf>
    <xf numFmtId="0" fontId="0" fillId="0" borderId="48" xfId="0" applyBorder="1" applyAlignment="1">
      <alignment horizontal="left" wrapText="1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2" xfId="0" applyBorder="1" applyAlignment="1">
      <alignment horizontal="left" wrapText="1"/>
    </xf>
    <xf numFmtId="0" fontId="0" fillId="0" borderId="2" xfId="0" applyBorder="1" applyAlignment="1">
      <alignment horizontal="left"/>
    </xf>
    <xf numFmtId="0" fontId="35" fillId="0" borderId="51" xfId="0" applyFont="1" applyBorder="1" applyAlignment="1">
      <alignment vertical="center" wrapText="1"/>
    </xf>
    <xf numFmtId="0" fontId="11" fillId="10" borderId="16" xfId="0" applyFont="1" applyFill="1" applyBorder="1" applyAlignment="1">
      <alignment horizontal="center"/>
    </xf>
    <xf numFmtId="0" fontId="24" fillId="10" borderId="16" xfId="0" applyFont="1" applyFill="1" applyBorder="1" applyAlignment="1">
      <alignment horizontal="center"/>
    </xf>
    <xf numFmtId="0" fontId="24" fillId="10" borderId="47" xfId="0" applyFont="1" applyFill="1" applyBorder="1" applyAlignment="1">
      <alignment horizontal="center"/>
    </xf>
    <xf numFmtId="0" fontId="11" fillId="9" borderId="16" xfId="0" applyFon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0" fontId="13" fillId="6" borderId="0" xfId="0" applyFont="1" applyFill="1" applyAlignment="1">
      <alignment horizontal="center" wrapText="1"/>
    </xf>
    <xf numFmtId="0" fontId="0" fillId="18" borderId="43" xfId="0" applyFill="1" applyBorder="1"/>
    <xf numFmtId="0" fontId="23" fillId="18" borderId="2" xfId="0" applyFont="1" applyFill="1" applyBorder="1"/>
    <xf numFmtId="0" fontId="39" fillId="18" borderId="2" xfId="0" applyFont="1" applyFill="1" applyBorder="1"/>
    <xf numFmtId="0" fontId="0" fillId="18" borderId="2" xfId="0" applyFill="1" applyBorder="1"/>
    <xf numFmtId="0" fontId="23" fillId="18" borderId="2" xfId="0" applyFont="1" applyFill="1" applyBorder="1" applyAlignment="1">
      <alignment vertical="center"/>
    </xf>
  </cellXfs>
  <cellStyles count="8">
    <cellStyle name="Ezres 2" xfId="3" xr:uid="{00000000-0005-0000-0000-000000000000}"/>
    <cellStyle name="Ezres 3" xfId="2" xr:uid="{00000000-0005-0000-0000-000001000000}"/>
    <cellStyle name="Normál" xfId="0" builtinId="0"/>
    <cellStyle name="Normál 2" xfId="4" xr:uid="{00000000-0005-0000-0000-000003000000}"/>
    <cellStyle name="Normál 3" xfId="1" xr:uid="{00000000-0005-0000-0000-000004000000}"/>
    <cellStyle name="Normál 3 2" xfId="7" xr:uid="{00000000-0005-0000-0000-000005000000}"/>
    <cellStyle name="Százalék 2" xfId="6" xr:uid="{00000000-0005-0000-0000-000006000000}"/>
    <cellStyle name="Százalék 3" xfId="5" xr:uid="{00000000-0005-0000-0000-000007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  <dxf>
      <fill>
        <patternFill>
          <bgColor rgb="FFFF00FF"/>
        </patternFill>
      </fill>
    </dxf>
  </dxfs>
  <tableStyles count="0" defaultTableStyle="TableStyleMedium2" defaultPivotStyle="PivotStyleMedium9"/>
  <colors>
    <mruColors>
      <color rgb="FFFF33CC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22</xdr:row>
          <xdr:rowOff>19050</xdr:rowOff>
        </xdr:from>
        <xdr:to>
          <xdr:col>0</xdr:col>
          <xdr:colOff>2152650</xdr:colOff>
          <xdr:row>24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hu-HU" sz="3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59</xdr:col>
      <xdr:colOff>228600</xdr:colOff>
      <xdr:row>0</xdr:row>
      <xdr:rowOff>91440</xdr:rowOff>
    </xdr:from>
    <xdr:to>
      <xdr:col>65</xdr:col>
      <xdr:colOff>75324</xdr:colOff>
      <xdr:row>3</xdr:row>
      <xdr:rowOff>152400</xdr:rowOff>
    </xdr:to>
    <xdr:pic>
      <xdr:nvPicPr>
        <xdr:cNvPr id="2" name="Kép 1">
          <a:extLst>
            <a:ext uri="{FF2B5EF4-FFF2-40B4-BE49-F238E27FC236}">
              <a16:creationId xmlns:a16="http://schemas.microsoft.com/office/drawing/2014/main" id="{DF7748C0-6A75-DDBB-47C7-24BE1E11F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299680" y="91440"/>
          <a:ext cx="1401204" cy="655320"/>
        </a:xfrm>
        <a:prstGeom prst="rect">
          <a:avLst/>
        </a:prstGeom>
        <a:solidFill>
          <a:srgbClr val="FFFFFF">
            <a:alpha val="0"/>
          </a:srgbClr>
        </a:solidFill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>
    <pageSetUpPr fitToPage="1"/>
  </sheetPr>
  <dimension ref="A1:EU64"/>
  <sheetViews>
    <sheetView topLeftCell="G1" zoomScale="70" zoomScaleNormal="70" workbookViewId="0">
      <selection activeCell="AG6" sqref="AG6"/>
    </sheetView>
  </sheetViews>
  <sheetFormatPr defaultColWidth="9.140625" defaultRowHeight="18" customHeight="1" x14ac:dyDescent="0.25"/>
  <cols>
    <col min="1" max="1" width="37.42578125" customWidth="1"/>
    <col min="2" max="2" width="10.7109375" bestFit="1" customWidth="1"/>
    <col min="5" max="5" width="18.140625" bestFit="1" customWidth="1"/>
    <col min="6" max="6" width="45" customWidth="1"/>
    <col min="7" max="7" width="12.85546875" bestFit="1" customWidth="1"/>
    <col min="8" max="8" width="32.28515625" customWidth="1"/>
    <col min="11" max="11" width="15.5703125" customWidth="1"/>
    <col min="13" max="13" width="11.5703125" bestFit="1" customWidth="1"/>
    <col min="14" max="14" width="16.7109375" customWidth="1"/>
    <col min="15" max="15" width="10.140625" customWidth="1"/>
    <col min="16" max="16" width="13.28515625" bestFit="1" customWidth="1"/>
    <col min="17" max="17" width="22.28515625" customWidth="1"/>
    <col min="18" max="18" width="13.42578125" bestFit="1" customWidth="1"/>
    <col min="19" max="19" width="16.7109375" customWidth="1"/>
    <col min="20" max="20" width="13.42578125" customWidth="1"/>
    <col min="21" max="21" width="16.28515625" customWidth="1"/>
    <col min="22" max="22" width="18.28515625" customWidth="1"/>
    <col min="23" max="23" width="21.5703125" customWidth="1"/>
    <col min="24" max="24" width="20.7109375" customWidth="1"/>
    <col min="25" max="46" width="6.85546875" customWidth="1"/>
    <col min="47" max="47" width="18.42578125" customWidth="1"/>
    <col min="48" max="57" width="6.85546875" customWidth="1"/>
    <col min="59" max="59" width="10.7109375" customWidth="1"/>
    <col min="60" max="60" width="13.140625" customWidth="1"/>
    <col min="61" max="61" width="10.28515625" customWidth="1"/>
    <col min="62" max="62" width="10.42578125" customWidth="1"/>
    <col min="63" max="63" width="12.5703125" bestFit="1" customWidth="1"/>
    <col min="64" max="64" width="15.85546875" bestFit="1" customWidth="1"/>
    <col min="65" max="84" width="9.85546875" customWidth="1"/>
    <col min="88" max="88" width="7.140625" style="82" customWidth="1"/>
    <col min="89" max="89" width="8.5703125" style="82" customWidth="1"/>
    <col min="90" max="90" width="17.42578125" style="82" customWidth="1"/>
    <col min="91" max="97" width="5.28515625" style="82" customWidth="1"/>
    <col min="98" max="102" width="6" style="82" customWidth="1"/>
    <col min="103" max="103" width="5.5703125" style="82" customWidth="1"/>
    <col min="104" max="104" width="8.7109375" style="82" customWidth="1"/>
    <col min="105" max="105" width="5.7109375" style="82" customWidth="1"/>
    <col min="106" max="106" width="4.7109375" style="82" bestFit="1" customWidth="1"/>
    <col min="107" max="107" width="6" style="82" customWidth="1"/>
    <col min="112" max="112" width="11" bestFit="1" customWidth="1"/>
    <col min="113" max="113" width="10.28515625" customWidth="1"/>
    <col min="114" max="114" width="13.7109375" bestFit="1" customWidth="1"/>
    <col min="115" max="115" width="12.85546875" customWidth="1"/>
    <col min="122" max="122" width="11.140625" bestFit="1" customWidth="1"/>
    <col min="123" max="124" width="9.140625" style="52"/>
    <col min="125" max="125" width="11.28515625" style="52" bestFit="1" customWidth="1"/>
    <col min="126" max="126" width="15.140625" style="52" bestFit="1" customWidth="1"/>
    <col min="127" max="132" width="11" style="52" customWidth="1"/>
  </cols>
  <sheetData>
    <row r="1" spans="1:146" ht="18" customHeight="1" x14ac:dyDescent="0.25">
      <c r="A1" s="410" t="s">
        <v>64</v>
      </c>
      <c r="B1" s="410"/>
      <c r="C1" s="410"/>
      <c r="D1" s="410"/>
      <c r="E1" s="410"/>
      <c r="F1" t="s">
        <v>68</v>
      </c>
      <c r="G1" s="18">
        <v>2024</v>
      </c>
      <c r="I1" t="s">
        <v>70</v>
      </c>
      <c r="J1" s="18" t="s">
        <v>129</v>
      </c>
      <c r="N1" t="s">
        <v>862</v>
      </c>
      <c r="Q1" s="1" t="s">
        <v>861</v>
      </c>
      <c r="Y1" s="335" t="s">
        <v>831</v>
      </c>
      <c r="Z1" s="336"/>
      <c r="AA1" s="336"/>
      <c r="AB1" s="336"/>
      <c r="AC1" s="337"/>
      <c r="AD1" s="1" t="s">
        <v>723</v>
      </c>
      <c r="AE1" s="1" t="s">
        <v>44</v>
      </c>
      <c r="BG1" s="410" t="s">
        <v>67</v>
      </c>
      <c r="BH1" s="410"/>
      <c r="BI1" s="410"/>
      <c r="BJ1" s="410"/>
      <c r="BK1" s="410"/>
      <c r="BL1" s="410"/>
      <c r="BM1" s="410"/>
      <c r="BN1" s="410"/>
      <c r="BO1" s="410"/>
      <c r="BP1" s="410"/>
      <c r="BQ1" s="410"/>
      <c r="BR1" s="410"/>
      <c r="BS1" s="410"/>
      <c r="BT1" s="410"/>
      <c r="BU1" s="410"/>
      <c r="BV1" s="410"/>
      <c r="BW1" s="410"/>
      <c r="BX1" s="410"/>
      <c r="BY1" s="410"/>
      <c r="BZ1" s="410"/>
      <c r="CA1" s="410"/>
      <c r="CB1" s="410"/>
      <c r="CC1" s="410"/>
      <c r="CD1" s="410"/>
      <c r="CE1" s="410"/>
      <c r="CF1" s="410"/>
      <c r="CJ1" s="410" t="s">
        <v>66</v>
      </c>
      <c r="CK1" s="410"/>
      <c r="CL1" s="410"/>
      <c r="CM1" s="410"/>
      <c r="CN1" s="410"/>
      <c r="CO1" s="410"/>
      <c r="CP1" s="410"/>
      <c r="CQ1" s="410"/>
      <c r="CR1" s="410"/>
      <c r="CS1" s="410"/>
      <c r="CT1" s="410"/>
      <c r="CU1" s="410"/>
      <c r="CV1" s="410"/>
      <c r="CW1" s="410"/>
      <c r="CX1" s="410"/>
      <c r="CY1" s="410"/>
      <c r="CZ1" s="410"/>
      <c r="DA1" s="410"/>
      <c r="DB1" s="410"/>
      <c r="DC1" s="410"/>
      <c r="DF1" s="410" t="s">
        <v>84</v>
      </c>
      <c r="DG1" s="410"/>
      <c r="DH1" s="410"/>
      <c r="DI1" s="410"/>
      <c r="DJ1" s="410"/>
      <c r="DK1" s="410"/>
      <c r="DL1" s="410"/>
      <c r="DM1" s="410"/>
      <c r="DN1" s="410"/>
      <c r="DO1" s="410"/>
      <c r="EG1" s="410" t="s">
        <v>274</v>
      </c>
      <c r="EH1" s="410"/>
      <c r="EI1" s="410"/>
      <c r="EJ1" s="410"/>
      <c r="EK1" s="410"/>
      <c r="EL1" s="410"/>
      <c r="EM1" s="410"/>
      <c r="EN1" s="410"/>
      <c r="EO1" s="410"/>
      <c r="EP1" s="410"/>
    </row>
    <row r="2" spans="1:146" ht="18" customHeight="1" x14ac:dyDescent="0.5">
      <c r="A2" s="411"/>
      <c r="B2" s="411"/>
      <c r="C2" s="411"/>
      <c r="D2" s="411"/>
      <c r="E2" s="41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W2" s="53"/>
      <c r="X2" s="51"/>
      <c r="AW2" s="51"/>
      <c r="AX2" s="51"/>
      <c r="AY2" s="51"/>
      <c r="AZ2" s="51"/>
      <c r="BA2" s="51"/>
      <c r="BB2" s="51"/>
      <c r="BC2" s="51"/>
      <c r="BD2" s="51"/>
      <c r="BE2" s="51"/>
      <c r="BG2" s="411"/>
      <c r="BH2" s="411"/>
      <c r="BI2" s="411"/>
      <c r="BJ2" s="411"/>
      <c r="BK2" s="411"/>
      <c r="BL2" s="411"/>
      <c r="BM2" s="411"/>
      <c r="BN2" s="411"/>
      <c r="BO2" s="411"/>
      <c r="BP2" s="411"/>
      <c r="BQ2" s="411"/>
      <c r="BR2" s="411"/>
      <c r="BS2" s="411"/>
      <c r="BT2" s="411"/>
      <c r="BU2" s="411"/>
      <c r="BV2" s="411"/>
      <c r="BW2" s="411"/>
      <c r="BX2" s="411"/>
      <c r="BY2" s="411"/>
      <c r="BZ2" s="411"/>
      <c r="CA2" s="411"/>
      <c r="CB2" s="411"/>
      <c r="CC2" s="411"/>
      <c r="CD2" s="411"/>
      <c r="CE2" s="411"/>
      <c r="CF2" s="411"/>
      <c r="CJ2" s="411"/>
      <c r="CK2" s="411"/>
      <c r="CL2" s="411"/>
      <c r="CM2" s="411"/>
      <c r="CN2" s="411"/>
      <c r="CO2" s="411"/>
      <c r="CP2" s="411"/>
      <c r="CQ2" s="411"/>
      <c r="CR2" s="411"/>
      <c r="CS2" s="411"/>
      <c r="CT2" s="411"/>
      <c r="CU2" s="411"/>
      <c r="CV2" s="411"/>
      <c r="CW2" s="411"/>
      <c r="CX2" s="411"/>
      <c r="CY2" s="411"/>
      <c r="CZ2" s="411"/>
      <c r="DA2" s="411"/>
      <c r="DB2" s="411"/>
      <c r="DC2" s="411"/>
      <c r="DF2" s="410"/>
      <c r="DG2" s="410"/>
      <c r="DH2" s="410"/>
      <c r="DI2" s="410"/>
      <c r="DJ2" s="410"/>
      <c r="DK2" s="410"/>
      <c r="DL2" s="410"/>
      <c r="DM2" s="410"/>
      <c r="DN2" s="410"/>
      <c r="DO2" s="410"/>
      <c r="DW2" s="52" t="s">
        <v>7</v>
      </c>
      <c r="DY2" s="52" t="s">
        <v>8</v>
      </c>
      <c r="EA2" s="52" t="s">
        <v>124</v>
      </c>
      <c r="EG2" s="410"/>
      <c r="EH2" s="410"/>
      <c r="EI2" s="410"/>
      <c r="EJ2" s="410"/>
      <c r="EK2" s="410"/>
      <c r="EL2" s="410"/>
      <c r="EM2" s="410"/>
      <c r="EN2" s="410"/>
      <c r="EO2" s="410"/>
      <c r="EP2" s="410"/>
    </row>
    <row r="3" spans="1:146" ht="16.899999999999999" customHeight="1" thickBot="1" x14ac:dyDescent="0.55000000000000004">
      <c r="A3" s="409" t="s">
        <v>305</v>
      </c>
      <c r="B3" s="409" t="s">
        <v>23</v>
      </c>
      <c r="C3" s="412" t="s">
        <v>311</v>
      </c>
      <c r="D3" s="409" t="s">
        <v>20</v>
      </c>
      <c r="E3" s="409" t="s">
        <v>717</v>
      </c>
      <c r="F3" s="409" t="s">
        <v>127</v>
      </c>
      <c r="G3" s="409" t="s">
        <v>282</v>
      </c>
      <c r="H3" s="409" t="s">
        <v>128</v>
      </c>
      <c r="I3" s="414" t="s">
        <v>306</v>
      </c>
      <c r="J3" s="412" t="s">
        <v>295</v>
      </c>
      <c r="K3" s="412"/>
      <c r="L3" s="412" t="s">
        <v>280</v>
      </c>
      <c r="M3" s="471" t="s">
        <v>300</v>
      </c>
      <c r="N3" s="472"/>
      <c r="O3" s="473"/>
      <c r="P3" s="413" t="s">
        <v>301</v>
      </c>
      <c r="Q3" s="413"/>
      <c r="R3" s="414" t="s">
        <v>284</v>
      </c>
      <c r="S3" s="412" t="s">
        <v>314</v>
      </c>
      <c r="T3" s="465" t="s">
        <v>310</v>
      </c>
      <c r="U3" s="466"/>
      <c r="V3" s="467"/>
      <c r="W3" s="412" t="s">
        <v>317</v>
      </c>
      <c r="X3" s="412" t="s">
        <v>700</v>
      </c>
      <c r="Y3" s="338" t="s">
        <v>768</v>
      </c>
      <c r="Z3" s="338" t="s">
        <v>767</v>
      </c>
      <c r="AA3" s="338" t="s">
        <v>766</v>
      </c>
      <c r="AB3" s="338" t="s">
        <v>779</v>
      </c>
      <c r="AC3" s="338" t="s">
        <v>769</v>
      </c>
      <c r="AD3" s="338" t="s">
        <v>771</v>
      </c>
      <c r="AE3" s="338" t="s">
        <v>765</v>
      </c>
      <c r="AF3" s="338" t="s">
        <v>780</v>
      </c>
      <c r="AG3" s="338" t="s">
        <v>772</v>
      </c>
      <c r="AH3" s="338" t="s">
        <v>826</v>
      </c>
      <c r="AI3" s="338" t="s">
        <v>827</v>
      </c>
      <c r="AJ3" s="338" t="s">
        <v>775</v>
      </c>
      <c r="AK3" s="338" t="s">
        <v>773</v>
      </c>
      <c r="AL3" s="338" t="s">
        <v>781</v>
      </c>
      <c r="AM3" s="338" t="s">
        <v>776</v>
      </c>
      <c r="AN3" s="338" t="s">
        <v>777</v>
      </c>
      <c r="AO3" s="338" t="s">
        <v>778</v>
      </c>
      <c r="AP3" s="338" t="s">
        <v>774</v>
      </c>
      <c r="AQ3" s="338" t="s">
        <v>782</v>
      </c>
      <c r="AR3" s="338" t="s">
        <v>783</v>
      </c>
      <c r="AS3" s="338" t="s">
        <v>784</v>
      </c>
      <c r="AT3" s="338" t="s">
        <v>858</v>
      </c>
      <c r="AU3" s="409" t="s">
        <v>865</v>
      </c>
      <c r="AW3" s="51"/>
      <c r="AX3" s="51"/>
      <c r="AY3" s="51"/>
      <c r="AZ3" s="51"/>
      <c r="BA3" s="51"/>
      <c r="BB3" s="51"/>
      <c r="BC3" s="51"/>
      <c r="BD3" s="51"/>
      <c r="BE3" s="51"/>
      <c r="BG3" s="459" t="s">
        <v>48</v>
      </c>
      <c r="BH3" s="458" t="s">
        <v>49</v>
      </c>
      <c r="BI3" s="456" t="s">
        <v>50</v>
      </c>
      <c r="BJ3" s="456" t="s">
        <v>51</v>
      </c>
      <c r="BK3" s="460" t="s">
        <v>22</v>
      </c>
      <c r="BL3" s="457" t="s">
        <v>243</v>
      </c>
      <c r="BM3" s="436" t="s">
        <v>221</v>
      </c>
      <c r="BN3" s="436" t="s">
        <v>222</v>
      </c>
      <c r="BO3" s="436" t="s">
        <v>223</v>
      </c>
      <c r="BP3" s="436" t="s">
        <v>224</v>
      </c>
      <c r="BQ3" s="436" t="s">
        <v>225</v>
      </c>
      <c r="BR3" s="436" t="s">
        <v>226</v>
      </c>
      <c r="BS3" s="436" t="s">
        <v>227</v>
      </c>
      <c r="BT3" s="436" t="s">
        <v>228</v>
      </c>
      <c r="BU3" s="436" t="s">
        <v>229</v>
      </c>
      <c r="BV3" s="436" t="s">
        <v>230</v>
      </c>
      <c r="BW3" s="463" t="s">
        <v>231</v>
      </c>
      <c r="BX3" s="436" t="s">
        <v>52</v>
      </c>
      <c r="BY3" s="462" t="s">
        <v>232</v>
      </c>
      <c r="BZ3" s="435" t="s">
        <v>53</v>
      </c>
      <c r="CA3" s="436" t="s">
        <v>233</v>
      </c>
      <c r="CB3" s="437" t="s">
        <v>234</v>
      </c>
      <c r="CC3" s="437" t="s">
        <v>235</v>
      </c>
      <c r="CD3" s="437" t="s">
        <v>236</v>
      </c>
      <c r="CE3" s="437" t="s">
        <v>237</v>
      </c>
      <c r="CF3" s="436" t="s">
        <v>238</v>
      </c>
      <c r="CJ3" s="438" t="s">
        <v>329</v>
      </c>
      <c r="CK3" s="439"/>
      <c r="CL3" s="440"/>
      <c r="CM3" s="447" t="s">
        <v>330</v>
      </c>
      <c r="CN3" s="448"/>
      <c r="CO3" s="448"/>
      <c r="CP3" s="448"/>
      <c r="CQ3" s="448"/>
      <c r="CR3" s="448"/>
      <c r="CS3" s="448"/>
      <c r="CT3" s="448"/>
      <c r="CU3" s="448"/>
      <c r="CV3" s="448"/>
      <c r="CW3" s="448"/>
      <c r="CX3" s="448"/>
      <c r="CY3" s="449"/>
      <c r="CZ3" s="420" t="s">
        <v>331</v>
      </c>
      <c r="DA3" s="421"/>
      <c r="DB3" s="421"/>
      <c r="DC3" s="422"/>
      <c r="DS3" s="52" t="s">
        <v>126</v>
      </c>
      <c r="DT3" s="52" t="s">
        <v>135</v>
      </c>
      <c r="DU3" s="52" t="s">
        <v>122</v>
      </c>
      <c r="DV3" s="52" t="s">
        <v>123</v>
      </c>
      <c r="DW3" s="52" t="s">
        <v>73</v>
      </c>
      <c r="DX3" s="52" t="s">
        <v>125</v>
      </c>
      <c r="DY3" s="52" t="s">
        <v>73</v>
      </c>
      <c r="DZ3" s="52" t="s">
        <v>125</v>
      </c>
      <c r="EA3" s="52" t="s">
        <v>73</v>
      </c>
      <c r="EB3" s="52" t="s">
        <v>125</v>
      </c>
      <c r="EG3" s="56"/>
      <c r="EH3" s="56"/>
      <c r="EI3" s="56"/>
      <c r="EJ3" s="56"/>
      <c r="EK3" s="56"/>
      <c r="EL3" s="56"/>
      <c r="EM3" s="56"/>
      <c r="EN3" s="56"/>
      <c r="EO3" s="56"/>
      <c r="EP3" s="56"/>
    </row>
    <row r="4" spans="1:146" ht="16.899999999999999" customHeight="1" thickBot="1" x14ac:dyDescent="0.55000000000000004">
      <c r="A4" s="409"/>
      <c r="B4" s="409"/>
      <c r="C4" s="409"/>
      <c r="D4" s="409"/>
      <c r="E4" s="409"/>
      <c r="F4" s="409"/>
      <c r="G4" s="409"/>
      <c r="H4" s="409"/>
      <c r="I4" s="414"/>
      <c r="J4" s="412"/>
      <c r="K4" s="412"/>
      <c r="L4" s="412"/>
      <c r="M4" s="474"/>
      <c r="N4" s="475"/>
      <c r="O4" s="476"/>
      <c r="P4" s="54" t="s">
        <v>307</v>
      </c>
      <c r="Q4" s="32" t="s">
        <v>308</v>
      </c>
      <c r="R4" s="414"/>
      <c r="S4" s="412"/>
      <c r="T4" s="468"/>
      <c r="U4" s="469"/>
      <c r="V4" s="470"/>
      <c r="W4" s="412"/>
      <c r="X4" s="412"/>
      <c r="Y4" s="339" t="s">
        <v>130</v>
      </c>
      <c r="Z4" s="339" t="s">
        <v>78</v>
      </c>
      <c r="AA4" s="339" t="s">
        <v>79</v>
      </c>
      <c r="AB4" s="339" t="s">
        <v>143</v>
      </c>
      <c r="AC4" s="339" t="s">
        <v>148</v>
      </c>
      <c r="AD4" s="339" t="s">
        <v>18</v>
      </c>
      <c r="AE4" s="339" t="s">
        <v>39</v>
      </c>
      <c r="AF4" s="339" t="s">
        <v>59</v>
      </c>
      <c r="AG4" s="339" t="s">
        <v>829</v>
      </c>
      <c r="AH4" s="339" t="s">
        <v>830</v>
      </c>
      <c r="AI4" s="339" t="s">
        <v>113</v>
      </c>
      <c r="AJ4" s="339" t="s">
        <v>159</v>
      </c>
      <c r="AK4" s="339" t="s">
        <v>828</v>
      </c>
      <c r="AL4" s="339" t="s">
        <v>172</v>
      </c>
      <c r="AM4" s="339" t="s">
        <v>186</v>
      </c>
      <c r="AN4" s="339" t="s">
        <v>187</v>
      </c>
      <c r="AO4" s="339" t="s">
        <v>188</v>
      </c>
      <c r="AP4" s="339" t="s">
        <v>212</v>
      </c>
      <c r="AQ4" s="339" t="s">
        <v>235</v>
      </c>
      <c r="AR4" s="339" t="s">
        <v>236</v>
      </c>
      <c r="AS4" s="339" t="s">
        <v>237</v>
      </c>
      <c r="AT4" s="339"/>
      <c r="AU4" s="409"/>
      <c r="AW4" s="51"/>
      <c r="AX4" s="51"/>
      <c r="AY4" s="51"/>
      <c r="AZ4" s="51"/>
      <c r="BA4" s="51"/>
      <c r="BB4" s="51"/>
      <c r="BC4" s="51"/>
      <c r="BD4" s="51"/>
      <c r="BE4" s="51"/>
      <c r="BG4" s="459"/>
      <c r="BH4" s="458"/>
      <c r="BI4" s="456"/>
      <c r="BJ4" s="456"/>
      <c r="BK4" s="461"/>
      <c r="BL4" s="457"/>
      <c r="BM4" s="436"/>
      <c r="BN4" s="436"/>
      <c r="BO4" s="436"/>
      <c r="BP4" s="436"/>
      <c r="BQ4" s="436"/>
      <c r="BR4" s="436"/>
      <c r="BS4" s="436"/>
      <c r="BT4" s="436"/>
      <c r="BU4" s="436"/>
      <c r="BV4" s="436"/>
      <c r="BW4" s="463"/>
      <c r="BX4" s="436"/>
      <c r="BY4" s="462"/>
      <c r="BZ4" s="435"/>
      <c r="CA4" s="436"/>
      <c r="CB4" s="437"/>
      <c r="CC4" s="437"/>
      <c r="CD4" s="437"/>
      <c r="CE4" s="437"/>
      <c r="CF4" s="436"/>
      <c r="CJ4" s="441"/>
      <c r="CK4" s="442"/>
      <c r="CL4" s="443"/>
      <c r="CM4" s="450"/>
      <c r="CN4" s="451"/>
      <c r="CO4" s="451"/>
      <c r="CP4" s="451"/>
      <c r="CQ4" s="451"/>
      <c r="CR4" s="451"/>
      <c r="CS4" s="451"/>
      <c r="CT4" s="451"/>
      <c r="CU4" s="451"/>
      <c r="CV4" s="451"/>
      <c r="CW4" s="451"/>
      <c r="CX4" s="451"/>
      <c r="CY4" s="452"/>
      <c r="CZ4" s="423" t="s">
        <v>320</v>
      </c>
      <c r="DA4" s="424"/>
      <c r="DB4" s="424"/>
      <c r="DC4" s="425"/>
      <c r="DF4" s="57" t="s">
        <v>71</v>
      </c>
      <c r="DG4" s="58" t="s">
        <v>50</v>
      </c>
      <c r="DH4" s="58" t="s">
        <v>49</v>
      </c>
      <c r="DI4" s="58" t="s">
        <v>72</v>
      </c>
      <c r="DJ4" s="58" t="s">
        <v>74</v>
      </c>
      <c r="DK4" s="58" t="s">
        <v>73</v>
      </c>
      <c r="DL4" s="58" t="s">
        <v>75</v>
      </c>
      <c r="DM4" s="58" t="s">
        <v>76</v>
      </c>
      <c r="DN4" s="58" t="s">
        <v>77</v>
      </c>
      <c r="DO4" s="59" t="s">
        <v>101</v>
      </c>
      <c r="DQ4" s="60" t="s">
        <v>129</v>
      </c>
      <c r="DR4" s="60" t="s">
        <v>130</v>
      </c>
      <c r="DS4" s="61">
        <v>2</v>
      </c>
      <c r="DT4" s="61">
        <v>40</v>
      </c>
      <c r="DU4" s="61" t="s">
        <v>58</v>
      </c>
      <c r="DV4" s="62" t="s">
        <v>56</v>
      </c>
      <c r="DW4" s="62" t="s">
        <v>16</v>
      </c>
      <c r="DX4" s="62">
        <v>0.1</v>
      </c>
      <c r="DY4" s="62" t="s">
        <v>131</v>
      </c>
      <c r="DZ4" s="62">
        <v>0.5</v>
      </c>
      <c r="EA4" s="62" t="s">
        <v>132</v>
      </c>
      <c r="EB4" s="62">
        <v>1</v>
      </c>
      <c r="EG4" s="63" t="s">
        <v>130</v>
      </c>
      <c r="EH4" s="64" t="str">
        <f>'NH4'!M9</f>
        <v>-</v>
      </c>
      <c r="EI4" s="56"/>
      <c r="EJ4" s="56"/>
      <c r="EK4" s="56"/>
      <c r="EL4" s="56"/>
      <c r="EM4" s="56"/>
      <c r="EN4" s="56"/>
      <c r="EO4" s="56"/>
      <c r="EP4" s="56"/>
    </row>
    <row r="5" spans="1:146" ht="16.899999999999999" customHeight="1" x14ac:dyDescent="0.5">
      <c r="A5" s="206" t="s">
        <v>984</v>
      </c>
      <c r="B5" s="206">
        <v>1</v>
      </c>
      <c r="C5" s="37" t="str">
        <f>IFERROR(VLOOKUP($A5,mintahelyek!$Y$4:$AJ$98,12,FALSE),"-")</f>
        <v>IV</v>
      </c>
      <c r="D5" s="65" t="str">
        <f t="shared" ref="D5:D20" si="0">IF(B5="-","-",CONCATENATE(B5,"/",C5))</f>
        <v>1/IV</v>
      </c>
      <c r="E5" s="36">
        <v>45292</v>
      </c>
      <c r="F5" s="37" t="str">
        <f>IFERROR(VLOOKUP($A5,mintahelyek!$Y$4:$AJ$98,2,FALSE),"-")</f>
        <v>8351 Nhmzzmsdqh Nhhlz</v>
      </c>
      <c r="G5" s="31" t="str">
        <f>IFERROR(VLOOKUP($A5,mintahelyek!$Y$4:$AJ$98,3,FALSE),"-")</f>
        <v>lLWVCL</v>
      </c>
      <c r="H5" s="37" t="str">
        <f>IFERROR(VLOOKUP($A5,mintahelyek!$Y$4:$AJ$98,4,FALSE),"-")</f>
        <v>Nhhlz</v>
      </c>
      <c r="I5" s="37" t="str">
        <f>IFERROR(VLOOKUP($A5,mintahelyek!$Y$4:$AJ$98,5,FALSE),"-")</f>
        <v>KUT</v>
      </c>
      <c r="J5" s="66">
        <f>IFERROR(VLOOKUP($A5,mintahelyek!$Y$4:$AJ$98,6,FALSE),"-")</f>
        <v>20511827</v>
      </c>
      <c r="K5" s="67" t="str">
        <f>IFERROR(VLOOKUP(J5,mintahelyek!$C$3:$D$4,2,FALSE),"-")</f>
        <v>AQUA Szolgáltató Korlátolt Felelősségű Társaság</v>
      </c>
      <c r="L5" s="66" t="str">
        <f>IFERROR(VLOOKUP($A5,mintahelyek!$Y$4:$AJ$98,7,FALSE),"-")</f>
        <v>U</v>
      </c>
      <c r="M5" s="37">
        <f>IFERROR(VLOOKUP($A5,mintahelyek!$Y$4:$AJ$98,8,FALSE),"-")</f>
        <v>21889495</v>
      </c>
      <c r="N5" s="1" t="str">
        <f>IFERROR(VLOOKUP(M5,mintahelyek!$H$3:$J$7,2,FALSE),"-")</f>
        <v>NAH-1-1650/2019</v>
      </c>
      <c r="O5" s="67" t="str">
        <f>IFERROR(VLOOKUP(M5,mintahelyek!$H$3:$J$7,3,FALSE),"-")</f>
        <v>Aqua Szolgáltató Kft. Vizsgáló-laboratórium</v>
      </c>
      <c r="P5" s="19" t="str">
        <f>IFERROR(VLOOKUP($A5,mintahelyek!$Y$4:$AJ$98,9,FALSE),"-")</f>
        <v>TERV</v>
      </c>
      <c r="Q5" s="19" t="str">
        <f>IFERROR(VLOOKUP($A5,mintahelyek!$Y$4:$AJ$98,10,FALSE),"-")</f>
        <v>-</v>
      </c>
      <c r="R5" s="67">
        <f>IFERROR(VLOOKUP($A5,mintahelyek!$Y$4:$AJ$98,11,FALSE),"-")</f>
        <v>4225989267</v>
      </c>
      <c r="S5" s="17" t="s">
        <v>277</v>
      </c>
      <c r="T5" s="38">
        <v>20479120</v>
      </c>
      <c r="U5" s="67" t="str">
        <f>IFERROR(VLOOKUP(T5,mintahelyek!$T$3:$V$9,2,FALSE),"-")</f>
        <v>NAH-1-1398/2024</v>
      </c>
      <c r="V5" s="67" t="str">
        <f>IFERROR(VLOOKUP(T5,mintahelyek!$T$3:$V$9,3,FALSE),"-")</f>
        <v>Eurofins Analytical Services Hungary Kft. Környezetanalitikai Laboratórium</v>
      </c>
      <c r="W5" s="68" t="str">
        <f t="shared" ref="W5:W20" si="1">IF(D5="","-",CONCATENATE(D5,"-",H5))</f>
        <v>1/IV-Nhhlz</v>
      </c>
      <c r="X5" s="17" t="s">
        <v>81</v>
      </c>
      <c r="Y5" s="396" t="str">
        <f>VLOOKUP($X5,mintahelyek!$AN$3:$BK$23,_xlfn.XMATCH(Y$3,mintahelyek!$AN$2:$BK$2,0),FALSE)</f>
        <v>x</v>
      </c>
      <c r="Z5" s="396" t="str">
        <f>VLOOKUP($X5,mintahelyek!$AN$3:$BK$23,_xlfn.XMATCH(Z$3,mintahelyek!$AN$2:$BK$2,0),FALSE)</f>
        <v>-</v>
      </c>
      <c r="AA5" s="396" t="str">
        <f>VLOOKUP($X5,mintahelyek!$AN$3:$BK$23,_xlfn.XMATCH(AA$3,mintahelyek!$AN$2:$BK$2,0),FALSE)</f>
        <v>x</v>
      </c>
      <c r="AB5" s="396" t="str">
        <f>VLOOKUP($X5,mintahelyek!$AN$3:$BK$23,_xlfn.XMATCH(AB$3,mintahelyek!$AN$2:$BK$2,0),FALSE)</f>
        <v>-</v>
      </c>
      <c r="AC5" s="396" t="str">
        <f>VLOOKUP($X5,mintahelyek!$AN$3:$BK$23,_xlfn.XMATCH(AC$3,mintahelyek!$AN$2:$BK$2,0),FALSE)</f>
        <v>-</v>
      </c>
      <c r="AD5" s="396" t="str">
        <f>VLOOKUP($X5,mintahelyek!$AN$3:$BK$23,_xlfn.XMATCH(AD$3,mintahelyek!$AN$2:$BK$2,0),FALSE)</f>
        <v>x</v>
      </c>
      <c r="AE5" s="396" t="str">
        <f>VLOOKUP($X5,mintahelyek!$AN$3:$BK$23,_xlfn.XMATCH(AE$3,mintahelyek!$AN$2:$BK$2,0),FALSE)</f>
        <v>x</v>
      </c>
      <c r="AF5" s="396" t="str">
        <f>VLOOKUP($X5,mintahelyek!$AN$3:$BK$23,_xlfn.XMATCH(AF$3,mintahelyek!$AN$2:$BK$2,0),FALSE)</f>
        <v>x</v>
      </c>
      <c r="AG5" s="396" t="str">
        <f>VLOOKUP($X5,mintahelyek!$AN$3:$BK$23,_xlfn.XMATCH(AG$3,mintahelyek!$AN$2:$BK$2,0),FALSE)</f>
        <v>x</v>
      </c>
      <c r="AH5" s="396" t="str">
        <f>VLOOKUP($X5,mintahelyek!$AN$3:$BK$23,_xlfn.XMATCH(AH$3,mintahelyek!$AN$2:$BK$2,0),FALSE)</f>
        <v>-</v>
      </c>
      <c r="AI5" s="396" t="str">
        <f>VLOOKUP($X5,mintahelyek!$AN$3:$BK$23,_xlfn.XMATCH(AI$3,mintahelyek!$AN$2:$BK$2,0),FALSE)</f>
        <v>x</v>
      </c>
      <c r="AJ5" s="396" t="str">
        <f>VLOOKUP($X5,mintahelyek!$AN$3:$BK$23,_xlfn.XMATCH(AJ$3,mintahelyek!$AN$2:$BK$2,0),FALSE)</f>
        <v>-</v>
      </c>
      <c r="AK5" s="396" t="str">
        <f>VLOOKUP($X5,mintahelyek!$AN$3:$BK$23,_xlfn.XMATCH(AK$3,mintahelyek!$AN$2:$BK$2,0),FALSE)</f>
        <v>-</v>
      </c>
      <c r="AL5" s="396" t="str">
        <f>VLOOKUP($X5,mintahelyek!$AN$3:$BK$23,_xlfn.XMATCH(AL$3,mintahelyek!$AN$2:$BK$2,0),FALSE)</f>
        <v>-</v>
      </c>
      <c r="AM5" s="396" t="str">
        <f>VLOOKUP($X5,mintahelyek!$AN$3:$BK$23,_xlfn.XMATCH(AM$3,mintahelyek!$AN$2:$BK$2,0),FALSE)</f>
        <v>-</v>
      </c>
      <c r="AN5" s="396" t="str">
        <f>VLOOKUP($X5,mintahelyek!$AN$3:$BK$23,_xlfn.XMATCH(AN$3,mintahelyek!$AN$2:$BK$2,0),FALSE)</f>
        <v>-</v>
      </c>
      <c r="AO5" s="396" t="str">
        <f>VLOOKUP($X5,mintahelyek!$AN$3:$BK$23,_xlfn.XMATCH(AO$3,mintahelyek!$AN$2:$BK$2,0),FALSE)</f>
        <v>-</v>
      </c>
      <c r="AP5" s="396" t="str">
        <f>VLOOKUP($X5,mintahelyek!$AN$3:$BK$23,_xlfn.XMATCH(AP$3,mintahelyek!$AN$2:$BK$2,0),FALSE)</f>
        <v>-</v>
      </c>
      <c r="AQ5" s="396" t="str">
        <f>VLOOKUP($X5,mintahelyek!$AN$3:$BK$23,_xlfn.XMATCH(AQ$3,mintahelyek!$AN$2:$BK$2,0),FALSE)</f>
        <v>x</v>
      </c>
      <c r="AR5" s="396" t="str">
        <f>VLOOKUP($X5,mintahelyek!$AN$3:$BK$23,_xlfn.XMATCH(AR$3,mintahelyek!$AN$2:$BK$2,0),FALSE)</f>
        <v>x</v>
      </c>
      <c r="AS5" s="396" t="str">
        <f>VLOOKUP($X5,mintahelyek!$AN$3:$BK$23,_xlfn.XMATCH(AS$3,mintahelyek!$AN$2:$BK$2,0),FALSE)</f>
        <v>x</v>
      </c>
      <c r="AT5" s="397" t="str">
        <f>VLOOKUP($X5,mintahelyek!$AN$3:$BK$23,_xlfn.XMATCH(AT$3,mintahelyek!$AN$2:$BK$2,0),FALSE)</f>
        <v>-</v>
      </c>
      <c r="AU5" s="400">
        <f t="shared" ref="AU5:AU20" si="2">IF(B5="-","-",MAX(EH$4:EH$17))</f>
        <v>45324</v>
      </c>
      <c r="AV5" s="51"/>
      <c r="AW5" s="51"/>
      <c r="AX5" s="51"/>
      <c r="AY5" s="51"/>
      <c r="AZ5" s="51"/>
      <c r="BA5" s="51"/>
      <c r="BB5" s="51"/>
      <c r="BC5" s="51"/>
      <c r="BD5" s="51"/>
      <c r="BE5" s="51"/>
      <c r="BG5" s="1" t="str">
        <f t="shared" ref="BG5:BG20" si="3">D5</f>
        <v>1/IV</v>
      </c>
      <c r="BH5" s="69">
        <f t="shared" ref="BH5:BH20" si="4">E5</f>
        <v>45292</v>
      </c>
      <c r="BI5" s="70">
        <f t="shared" ref="BI5:BI20" si="5">YEAR(BH5)</f>
        <v>2024</v>
      </c>
      <c r="BJ5" s="70">
        <f>IF(MONTH(BH5)&lt;4,1,     IF(MONTH(BH5)&lt;7,2,         IF(MONTH(BH5)&lt;10,3,   IF(MONTH(BH5)&lt;13,4,  "----"))))</f>
        <v>1</v>
      </c>
      <c r="BK5" s="70" t="str">
        <f t="shared" ref="BK5:BK20" si="6">C5</f>
        <v>IV</v>
      </c>
      <c r="BL5" s="71" t="str">
        <f t="shared" ref="BL5:BL20" si="7">F5</f>
        <v>8351 Nhmzzmsdqh Nhhlz</v>
      </c>
      <c r="BM5" s="72" t="str">
        <f>'NH4'!U9</f>
        <v>&lt;0,04</v>
      </c>
      <c r="BN5" s="72" t="str">
        <f>'NO3'!U9</f>
        <v>&lt;1,00</v>
      </c>
      <c r="BO5" s="72" t="str">
        <f>'NO2'!U9</f>
        <v>&lt;0,02</v>
      </c>
      <c r="BP5" s="73" t="str">
        <f>Fe!U9</f>
        <v>&lt;0,03</v>
      </c>
      <c r="BQ5" s="73" t="str">
        <f>Mn!U9</f>
        <v>&lt;0,03</v>
      </c>
      <c r="BR5" s="72" t="str">
        <f>Cl!T9</f>
        <v>10,0</v>
      </c>
      <c r="BS5" s="72" t="str">
        <f>KOIps!T9</f>
        <v>&lt;0,30</v>
      </c>
      <c r="BT5" s="72" t="str">
        <f>ÖK!Q9</f>
        <v>120</v>
      </c>
      <c r="BU5" s="62" t="str">
        <f>ÖK!S9</f>
        <v>42,9</v>
      </c>
      <c r="BV5" s="73" t="str">
        <f>ÖK!T9</f>
        <v>26,0</v>
      </c>
      <c r="BW5" s="72" t="str">
        <f>Lúgosság!T9</f>
        <v>3,00</v>
      </c>
      <c r="BX5" s="62" t="str">
        <f>IF('pH,EC'!O9="-",'pH,EC'!O38,'pH,EC'!O9)</f>
        <v>7,02</v>
      </c>
      <c r="BY5" s="62" t="str">
        <f>IF('pH,EC'!P9="-",'pH,EC'!P38,'pH,EC'!P9)</f>
        <v>400</v>
      </c>
      <c r="BZ5" s="62" t="str">
        <f>IF('pH,EC'!Q9="-",'pH,EC'!Q38,'pH,EC'!Q9)</f>
        <v>10,0</v>
      </c>
      <c r="CA5" s="62" t="str">
        <f>'SO4'!R9</f>
        <v>8</v>
      </c>
      <c r="CB5" s="74" t="str">
        <f>IF('pH,EC'!R9="-",'pH,EC'!R38,'pH,EC'!R9)</f>
        <v>0,10</v>
      </c>
      <c r="CC5" s="74" t="str">
        <f>TEMP!B7</f>
        <v>szintelen</v>
      </c>
      <c r="CD5" s="74" t="str">
        <f>TEMP!C7</f>
        <v>szagtalan</v>
      </c>
      <c r="CE5" s="74" t="str">
        <f>TEMP!D7</f>
        <v>iztelen</v>
      </c>
      <c r="CF5" s="62" t="str">
        <f>Lúgosság!U9</f>
        <v>183</v>
      </c>
      <c r="CJ5" s="441"/>
      <c r="CK5" s="442"/>
      <c r="CL5" s="443"/>
      <c r="CM5" s="450"/>
      <c r="CN5" s="451"/>
      <c r="CO5" s="451"/>
      <c r="CP5" s="451"/>
      <c r="CQ5" s="451"/>
      <c r="CR5" s="451"/>
      <c r="CS5" s="451"/>
      <c r="CT5" s="451"/>
      <c r="CU5" s="451"/>
      <c r="CV5" s="451"/>
      <c r="CW5" s="451"/>
      <c r="CX5" s="451"/>
      <c r="CY5" s="452"/>
      <c r="CZ5" s="426">
        <v>45293</v>
      </c>
      <c r="DA5" s="424"/>
      <c r="DB5" s="424"/>
      <c r="DC5" s="425"/>
      <c r="DF5" s="75" t="str">
        <f t="shared" ref="DF5:DF47" si="8">J$1</f>
        <v>IV</v>
      </c>
      <c r="DG5" s="76">
        <f t="shared" ref="DG5:DG47" si="9">G$1</f>
        <v>2024</v>
      </c>
      <c r="DH5" s="77" t="str">
        <f>'NH4'!M9</f>
        <v>-</v>
      </c>
      <c r="DI5" s="76" t="s">
        <v>130</v>
      </c>
      <c r="DJ5" s="76" t="s">
        <v>62</v>
      </c>
      <c r="DK5" s="76" t="str">
        <f>'NH4'!A23</f>
        <v>QC1 (0,1)</v>
      </c>
      <c r="DL5" s="386">
        <v>0.1</v>
      </c>
      <c r="DM5" s="76">
        <f>'NH4'!G23</f>
        <v>0.13788700000000001</v>
      </c>
      <c r="DN5" s="76">
        <f>'NH4'!H23</f>
        <v>137.9</v>
      </c>
      <c r="DO5" s="78" t="s">
        <v>44</v>
      </c>
      <c r="DQ5" s="60" t="s">
        <v>129</v>
      </c>
      <c r="DR5" s="60" t="s">
        <v>78</v>
      </c>
      <c r="DS5" s="61">
        <v>2</v>
      </c>
      <c r="DT5" s="61">
        <v>5</v>
      </c>
      <c r="DU5" s="61" t="s">
        <v>57</v>
      </c>
      <c r="DV5" s="62" t="s">
        <v>56</v>
      </c>
      <c r="DW5" s="62" t="s">
        <v>136</v>
      </c>
      <c r="DX5" s="62">
        <v>4</v>
      </c>
      <c r="DY5" s="62" t="s">
        <v>17</v>
      </c>
      <c r="DZ5" s="62">
        <v>50</v>
      </c>
      <c r="EA5" s="62" t="s">
        <v>88</v>
      </c>
      <c r="EB5" s="62">
        <v>25</v>
      </c>
      <c r="EG5" s="63" t="s">
        <v>78</v>
      </c>
      <c r="EH5" s="64" t="str">
        <f>'NO3'!M9</f>
        <v>-</v>
      </c>
      <c r="EI5" s="56"/>
      <c r="EJ5" s="56"/>
      <c r="EK5" s="56"/>
      <c r="EL5" s="56"/>
      <c r="EM5" s="56"/>
      <c r="EN5" s="56"/>
      <c r="EO5" s="56"/>
      <c r="EP5" s="56"/>
    </row>
    <row r="6" spans="1:146" ht="16.899999999999999" customHeight="1" x14ac:dyDescent="0.5">
      <c r="A6" s="2" t="s">
        <v>293</v>
      </c>
      <c r="B6" s="2">
        <v>2</v>
      </c>
      <c r="C6" s="37" t="str">
        <f>IFERROR(VLOOKUP($A6,mintahelyek!$Y$4:$AJ$98,12,FALSE),"-")</f>
        <v>IV</v>
      </c>
      <c r="D6" s="65" t="str">
        <f t="shared" si="0"/>
        <v>2/IV</v>
      </c>
      <c r="E6" s="36">
        <f t="shared" ref="E6:E20" si="10">E5+1</f>
        <v>45293</v>
      </c>
      <c r="F6" s="37" t="str">
        <f>IFERROR(VLOOKUP($A6,mintahelyek!$Y$4:$AJ$98,2,FALSE),"-")</f>
        <v>ADATOT BEÍRNI</v>
      </c>
      <c r="G6" s="31" t="str">
        <f>IFERROR(VLOOKUP($A6,mintahelyek!$Y$4:$AJ$98,3,FALSE),"-")</f>
        <v>ADATOT BEÍRNI</v>
      </c>
      <c r="H6" s="37" t="str">
        <f>IFERROR(VLOOKUP($A6,mintahelyek!$Y$4:$AJ$98,4,FALSE),"-")</f>
        <v>ADATOT BEÍRNI</v>
      </c>
      <c r="I6" s="37" t="s">
        <v>60</v>
      </c>
      <c r="J6" s="66">
        <f>IFERROR(VLOOKUP($A6,mintahelyek!$Y$4:$AJ$98,6,FALSE),"-")</f>
        <v>20511827</v>
      </c>
      <c r="K6" s="1" t="str">
        <f>IFERROR(VLOOKUP(J6,mintahelyek!$C$3:$D$4,2,FALSE),"-")</f>
        <v>AQUA Szolgáltató Korlátolt Felelősségű Társaság</v>
      </c>
      <c r="L6" s="66" t="str">
        <f>IFERROR(VLOOKUP($A6,mintahelyek!$Y$4:$AJ$98,7,FALSE),"-")</f>
        <v>U</v>
      </c>
      <c r="M6" s="37">
        <f>IFERROR(VLOOKUP($A6,mintahelyek!$Y$4:$AJ$98,8,FALSE),"-")</f>
        <v>21889495</v>
      </c>
      <c r="N6" s="1" t="str">
        <f>IFERROR(VLOOKUP(M6,mintahelyek!$H$3:$J$7,2,FALSE),"-")</f>
        <v>NAH-1-1650/2019</v>
      </c>
      <c r="O6" s="67" t="str">
        <f>IFERROR(VLOOKUP(M6,mintahelyek!$H$3:$J$7,3,FALSE),"-")</f>
        <v>Aqua Szolgáltató Kft. Vizsgáló-laboratórium</v>
      </c>
      <c r="P6" s="19" t="str">
        <f>IFERROR(VLOOKUP($A6,mintahelyek!$Y$4:$AJ$98,9,FALSE),"-")</f>
        <v>EGY</v>
      </c>
      <c r="Q6" s="19" t="str">
        <f>IFERROR(VLOOKUP($A6,mintahelyek!$Y$4:$AJ$98,10,FALSE),"-")</f>
        <v>ADATOT BEÍRNI</v>
      </c>
      <c r="R6" s="67" t="str">
        <f>IFERROR(VLOOKUP($A6,mintahelyek!$Y$4:$AJ$98,11,FALSE),"-")</f>
        <v>na</v>
      </c>
      <c r="S6" s="2" t="s">
        <v>315</v>
      </c>
      <c r="T6" s="38" t="s">
        <v>316</v>
      </c>
      <c r="U6" s="67" t="str">
        <f>IFERROR(VLOOKUP(T6,mintahelyek!$T$3:$V$9,2,FALSE),"-")</f>
        <v>na</v>
      </c>
      <c r="V6" s="67" t="str">
        <f>IFERROR(VLOOKUP(T6,mintahelyek!$T$3:$V$9,3,FALSE),"-")</f>
        <v>Megrendelő</v>
      </c>
      <c r="W6" s="68" t="str">
        <f t="shared" si="1"/>
        <v>2/IV-ADATOT BEÍRNI</v>
      </c>
      <c r="X6" s="17" t="s">
        <v>837</v>
      </c>
      <c r="Y6" s="396" t="str">
        <f>VLOOKUP($X6,mintahelyek!$AN$3:$BK$23,_xlfn.XMATCH(Y$3,mintahelyek!$AN$2:$BK$2,0),FALSE)</f>
        <v>-</v>
      </c>
      <c r="Z6" s="396" t="str">
        <f>VLOOKUP($X6,mintahelyek!$AN$3:$BK$23,_xlfn.XMATCH(Z$3,mintahelyek!$AN$2:$BK$2,0),FALSE)</f>
        <v>x</v>
      </c>
      <c r="AA6" s="396" t="str">
        <f>VLOOKUP($X6,mintahelyek!$AN$3:$BK$23,_xlfn.XMATCH(AA$3,mintahelyek!$AN$2:$BK$2,0),FALSE)</f>
        <v>-</v>
      </c>
      <c r="AB6" s="396" t="str">
        <f>VLOOKUP($X6,mintahelyek!$AN$3:$BK$23,_xlfn.XMATCH(AB$3,mintahelyek!$AN$2:$BK$2,0),FALSE)</f>
        <v>x</v>
      </c>
      <c r="AC6" s="396" t="str">
        <f>VLOOKUP($X6,mintahelyek!$AN$3:$BK$23,_xlfn.XMATCH(AC$3,mintahelyek!$AN$2:$BK$2,0),FALSE)</f>
        <v>x</v>
      </c>
      <c r="AD6" s="396" t="str">
        <f>VLOOKUP($X6,mintahelyek!$AN$3:$BK$23,_xlfn.XMATCH(AD$3,mintahelyek!$AN$2:$BK$2,0),FALSE)</f>
        <v>-</v>
      </c>
      <c r="AE6" s="396" t="str">
        <f>VLOOKUP($X6,mintahelyek!$AN$3:$BK$23,_xlfn.XMATCH(AE$3,mintahelyek!$AN$2:$BK$2,0),FALSE)</f>
        <v>-</v>
      </c>
      <c r="AF6" s="396" t="str">
        <f>VLOOKUP($X6,mintahelyek!$AN$3:$BK$23,_xlfn.XMATCH(AF$3,mintahelyek!$AN$2:$BK$2,0),FALSE)</f>
        <v>-</v>
      </c>
      <c r="AG6" s="396" t="str">
        <f>VLOOKUP($X6,mintahelyek!$AN$3:$BK$23,_xlfn.XMATCH(AG$3,mintahelyek!$AN$2:$BK$2,0),FALSE)</f>
        <v>-</v>
      </c>
      <c r="AH6" s="396" t="str">
        <f>VLOOKUP($X6,mintahelyek!$AN$3:$BK$23,_xlfn.XMATCH(AH$3,mintahelyek!$AN$2:$BK$2,0),FALSE)</f>
        <v>-</v>
      </c>
      <c r="AI6" s="396" t="str">
        <f>VLOOKUP($X6,mintahelyek!$AN$3:$BK$23,_xlfn.XMATCH(AI$3,mintahelyek!$AN$2:$BK$2,0),FALSE)</f>
        <v>-</v>
      </c>
      <c r="AJ6" s="396" t="str">
        <f>VLOOKUP($X6,mintahelyek!$AN$3:$BK$23,_xlfn.XMATCH(AJ$3,mintahelyek!$AN$2:$BK$2,0),FALSE)</f>
        <v>-</v>
      </c>
      <c r="AK6" s="396" t="str">
        <f>VLOOKUP($X6,mintahelyek!$AN$3:$BK$23,_xlfn.XMATCH(AK$3,mintahelyek!$AN$2:$BK$2,0),FALSE)</f>
        <v>-</v>
      </c>
      <c r="AL6" s="396" t="str">
        <f>VLOOKUP($X6,mintahelyek!$AN$3:$BK$23,_xlfn.XMATCH(AL$3,mintahelyek!$AN$2:$BK$2,0),FALSE)</f>
        <v>-</v>
      </c>
      <c r="AM6" s="396" t="str">
        <f>VLOOKUP($X6,mintahelyek!$AN$3:$BK$23,_xlfn.XMATCH(AM$3,mintahelyek!$AN$2:$BK$2,0),FALSE)</f>
        <v>-</v>
      </c>
      <c r="AN6" s="396" t="str">
        <f>VLOOKUP($X6,mintahelyek!$AN$3:$BK$23,_xlfn.XMATCH(AN$3,mintahelyek!$AN$2:$BK$2,0),FALSE)</f>
        <v>-</v>
      </c>
      <c r="AO6" s="396" t="str">
        <f>VLOOKUP($X6,mintahelyek!$AN$3:$BK$23,_xlfn.XMATCH(AO$3,mintahelyek!$AN$2:$BK$2,0),FALSE)</f>
        <v>-</v>
      </c>
      <c r="AP6" s="396" t="str">
        <f>VLOOKUP($X6,mintahelyek!$AN$3:$BK$23,_xlfn.XMATCH(AP$3,mintahelyek!$AN$2:$BK$2,0),FALSE)</f>
        <v>-</v>
      </c>
      <c r="AQ6" s="396" t="str">
        <f>VLOOKUP($X6,mintahelyek!$AN$3:$BK$23,_xlfn.XMATCH(AQ$3,mintahelyek!$AN$2:$BK$2,0),FALSE)</f>
        <v>-</v>
      </c>
      <c r="AR6" s="396" t="str">
        <f>VLOOKUP($X6,mintahelyek!$AN$3:$BK$23,_xlfn.XMATCH(AR$3,mintahelyek!$AN$2:$BK$2,0),FALSE)</f>
        <v>-</v>
      </c>
      <c r="AS6" s="396" t="str">
        <f>VLOOKUP($X6,mintahelyek!$AN$3:$BK$23,_xlfn.XMATCH(AS$3,mintahelyek!$AN$2:$BK$2,0),FALSE)</f>
        <v>-</v>
      </c>
      <c r="AT6" s="397" t="str">
        <f>VLOOKUP($X6,mintahelyek!$AN$3:$BK$23,_xlfn.XMATCH(AT$3,mintahelyek!$AN$2:$BK$2,0),FALSE)</f>
        <v>-</v>
      </c>
      <c r="AU6" s="400">
        <f t="shared" si="2"/>
        <v>45324</v>
      </c>
      <c r="AV6" s="51"/>
      <c r="AW6" s="51"/>
      <c r="AX6" s="51"/>
      <c r="AY6" s="51"/>
      <c r="AZ6" s="51"/>
      <c r="BA6" s="51"/>
      <c r="BB6" s="51"/>
      <c r="BC6" s="51"/>
      <c r="BD6" s="51"/>
      <c r="BE6" s="51"/>
      <c r="BG6" s="1" t="str">
        <f t="shared" si="3"/>
        <v>2/IV</v>
      </c>
      <c r="BH6" s="69">
        <f t="shared" si="4"/>
        <v>45293</v>
      </c>
      <c r="BI6" s="70">
        <f t="shared" si="5"/>
        <v>2024</v>
      </c>
      <c r="BJ6" s="70">
        <f t="shared" ref="BJ6:BJ20" si="11">IF(MONTH(BH6)&lt;4,1,     IF(MONTH(BH6)&lt;7,2,         IF(MONTH(BH6)&lt;10,3,   IF(MONTH(BH6)&lt;13,4,  "----"))))</f>
        <v>1</v>
      </c>
      <c r="BK6" s="70" t="str">
        <f t="shared" si="6"/>
        <v>IV</v>
      </c>
      <c r="BL6" s="71" t="str">
        <f t="shared" si="7"/>
        <v>ADATOT BEÍRNI</v>
      </c>
      <c r="BM6" s="72" t="str">
        <f>'NH4'!U10</f>
        <v>&lt;0,04</v>
      </c>
      <c r="BN6" s="72" t="str">
        <f>'NO3'!U10</f>
        <v>&lt;1,00</v>
      </c>
      <c r="BO6" s="72" t="str">
        <f>'NO2'!U10</f>
        <v>&lt;0,02</v>
      </c>
      <c r="BP6" s="73" t="str">
        <f>Fe!U10</f>
        <v>&lt;0,03</v>
      </c>
      <c r="BQ6" s="73" t="str">
        <f>Mn!U10</f>
        <v>&lt;0,03</v>
      </c>
      <c r="BR6" s="72" t="str">
        <f>Cl!T10</f>
        <v>11,0</v>
      </c>
      <c r="BS6" s="72" t="str">
        <f>KOIps!T10</f>
        <v>&lt;0,30</v>
      </c>
      <c r="BT6" s="72" t="str">
        <f>ÖK!Q10</f>
        <v>122</v>
      </c>
      <c r="BU6" s="62" t="str">
        <f>ÖK!S10</f>
        <v>43,6</v>
      </c>
      <c r="BV6" s="73" t="str">
        <f>ÖK!T10</f>
        <v>26,4</v>
      </c>
      <c r="BW6" s="72" t="str">
        <f>Lúgosság!T10</f>
        <v>3,10</v>
      </c>
      <c r="BX6" s="62" t="str">
        <f>IF('pH,EC'!O10="-",'pH,EC'!O39,'pH,EC'!O10)</f>
        <v>7,04</v>
      </c>
      <c r="BY6" s="62" t="str">
        <f>IF('pH,EC'!P10="-",'pH,EC'!P39,'pH,EC'!P10)</f>
        <v>405</v>
      </c>
      <c r="BZ6" s="62" t="str">
        <f>IF('pH,EC'!Q10="-",'pH,EC'!Q39,'pH,EC'!Q10)</f>
        <v>10,1</v>
      </c>
      <c r="CA6" s="62" t="str">
        <f>'SO4'!R10</f>
        <v>16</v>
      </c>
      <c r="CB6" s="74" t="str">
        <f>IF('pH,EC'!R10="-",'pH,EC'!R39,'pH,EC'!R10)</f>
        <v>0,12</v>
      </c>
      <c r="CC6" s="74" t="str">
        <f>TEMP!B8</f>
        <v>szintelen</v>
      </c>
      <c r="CD6" s="74" t="str">
        <f>TEMP!C8</f>
        <v>szagtalan</v>
      </c>
      <c r="CE6" s="74" t="str">
        <f>TEMP!D8</f>
        <v>iztelen</v>
      </c>
      <c r="CF6" s="62" t="str">
        <f>Lúgosság!U10</f>
        <v>189</v>
      </c>
      <c r="CJ6" s="444"/>
      <c r="CK6" s="445"/>
      <c r="CL6" s="446"/>
      <c r="CM6" s="453"/>
      <c r="CN6" s="454"/>
      <c r="CO6" s="454"/>
      <c r="CP6" s="454"/>
      <c r="CQ6" s="454"/>
      <c r="CR6" s="454"/>
      <c r="CS6" s="454"/>
      <c r="CT6" s="454"/>
      <c r="CU6" s="454"/>
      <c r="CV6" s="454"/>
      <c r="CW6" s="454"/>
      <c r="CX6" s="454"/>
      <c r="CY6" s="455"/>
      <c r="CZ6" s="427" t="s">
        <v>324</v>
      </c>
      <c r="DA6" s="428"/>
      <c r="DB6" s="428"/>
      <c r="DC6" s="429"/>
      <c r="DF6" s="79" t="str">
        <f t="shared" si="8"/>
        <v>IV</v>
      </c>
      <c r="DG6" s="71">
        <f t="shared" si="9"/>
        <v>2024</v>
      </c>
      <c r="DH6" s="80" t="str">
        <f>'NH4'!M9</f>
        <v>-</v>
      </c>
      <c r="DI6" s="71" t="s">
        <v>130</v>
      </c>
      <c r="DJ6" s="71" t="s">
        <v>62</v>
      </c>
      <c r="DK6" s="71" t="str">
        <f>'NH4'!A24</f>
        <v>QC2 (0,5)</v>
      </c>
      <c r="DL6" s="387">
        <v>1</v>
      </c>
      <c r="DM6" s="71">
        <f>'NH4'!G24</f>
        <v>0.14599800000000002</v>
      </c>
      <c r="DN6" s="71">
        <f>'NH4'!H24</f>
        <v>29.2</v>
      </c>
      <c r="DO6" s="81" t="s">
        <v>44</v>
      </c>
      <c r="DQ6" s="60" t="s">
        <v>129</v>
      </c>
      <c r="DR6" s="60" t="s">
        <v>79</v>
      </c>
      <c r="DS6" s="61">
        <v>2</v>
      </c>
      <c r="DT6" s="61">
        <v>25</v>
      </c>
      <c r="DU6" s="61" t="s">
        <v>138</v>
      </c>
      <c r="DV6" s="62" t="s">
        <v>56</v>
      </c>
      <c r="DW6" s="62" t="s">
        <v>139</v>
      </c>
      <c r="DX6" s="62">
        <v>0.04</v>
      </c>
      <c r="DY6" s="62" t="s">
        <v>131</v>
      </c>
      <c r="DZ6" s="62">
        <v>0.5</v>
      </c>
      <c r="EA6" s="62" t="s">
        <v>132</v>
      </c>
      <c r="EB6" s="62">
        <v>1</v>
      </c>
      <c r="EG6" s="63" t="s">
        <v>79</v>
      </c>
      <c r="EH6" s="64" t="str">
        <f>'NO2'!M9</f>
        <v>-</v>
      </c>
      <c r="EI6" s="56"/>
      <c r="EJ6" s="56"/>
      <c r="EK6" s="56"/>
      <c r="EL6" s="56"/>
      <c r="EM6" s="56"/>
      <c r="EN6" s="56"/>
      <c r="EO6" s="56"/>
      <c r="EP6" s="56"/>
    </row>
    <row r="7" spans="1:146" ht="16.149999999999999" customHeight="1" thickBot="1" x14ac:dyDescent="0.55000000000000004">
      <c r="A7" s="2" t="s">
        <v>291</v>
      </c>
      <c r="B7" s="206">
        <v>3</v>
      </c>
      <c r="C7" s="37" t="str">
        <f>IFERROR(VLOOKUP($A7,mintahelyek!$Y$4:$AJ$98,12,FALSE),"-")</f>
        <v>KIV</v>
      </c>
      <c r="D7" s="65" t="str">
        <f t="shared" si="0"/>
        <v>3/KIV</v>
      </c>
      <c r="E7" s="36">
        <f t="shared" si="10"/>
        <v>45294</v>
      </c>
      <c r="F7" s="37" t="str">
        <f>IFERROR(VLOOKUP($A7,mintahelyek!$Y$4:$AJ$98,2,FALSE),"-")</f>
        <v>ADATOT BEÍRNI</v>
      </c>
      <c r="G7" s="31" t="str">
        <f>IFERROR(VLOOKUP($A7,mintahelyek!$Y$4:$AJ$98,3,FALSE),"-")</f>
        <v>KÜLSŐS</v>
      </c>
      <c r="H7" s="37" t="str">
        <f>IFERROR(VLOOKUP($A7,mintahelyek!$Y$4:$AJ$98,4,FALSE),"-")</f>
        <v>ADATOT BEÍRNI</v>
      </c>
      <c r="I7" s="37" t="str">
        <f>IFERROR(VLOOKUP($A7,mintahelyek!$Y$4:$AJ$98,5,FALSE),"-")</f>
        <v>na</v>
      </c>
      <c r="J7" s="66" t="str">
        <f>IFERROR(VLOOKUP($A7,mintahelyek!$Y$4:$AJ$98,6,FALSE),"-")</f>
        <v>na</v>
      </c>
      <c r="K7" s="1" t="str">
        <f>IFERROR(VLOOKUP(J7,mintahelyek!$C$3:$D$4,2,FALSE),"-")</f>
        <v>ismeretlen</v>
      </c>
      <c r="L7" s="66" t="str">
        <f>IFERROR(VLOOKUP($A7,mintahelyek!$Y$4:$AJ$98,7,FALSE),"-")</f>
        <v>na</v>
      </c>
      <c r="M7" s="37">
        <v>20479120</v>
      </c>
      <c r="N7" s="1" t="str">
        <f>IFERROR(VLOOKUP(M7,mintahelyek!$H$3:$J$7,2,FALSE),"-")</f>
        <v>NAH-1-1398/2024</v>
      </c>
      <c r="O7" s="67" t="str">
        <f>IFERROR(VLOOKUP(M7,mintahelyek!$H$3:$J$7,3,FALSE),"-")</f>
        <v>Eurofins Analytical Services Hungary Kft. Környezetanalitikai Laboratórium</v>
      </c>
      <c r="P7" s="19" t="str">
        <f>IFERROR(VLOOKUP($A7,mintahelyek!$Y$4:$AJ$98,9,FALSE),"-")</f>
        <v>na</v>
      </c>
      <c r="Q7" s="19" t="str">
        <f>IFERROR(VLOOKUP($A7,mintahelyek!$Y$4:$AJ$98,10,FALSE),"-")</f>
        <v>külsős minta</v>
      </c>
      <c r="R7" s="67" t="str">
        <f>IFERROR(VLOOKUP($A7,mintahelyek!$Y$4:$AJ$98,11,FALSE),"-")</f>
        <v>na</v>
      </c>
      <c r="S7" s="17" t="s">
        <v>60</v>
      </c>
      <c r="T7" s="38" t="s">
        <v>60</v>
      </c>
      <c r="U7" s="67" t="str">
        <f>IFERROR(VLOOKUP(T7,mintahelyek!$T$3:$V$9,2,FALSE),"-")</f>
        <v>na</v>
      </c>
      <c r="V7" s="67" t="str">
        <f>IFERROR(VLOOKUP(T7,mintahelyek!$T$3:$V$9,3,FALSE),"-")</f>
        <v>ismeretlen</v>
      </c>
      <c r="W7" s="68" t="str">
        <f t="shared" si="1"/>
        <v>3/KIV-ADATOT BEÍRNI</v>
      </c>
      <c r="X7" s="17" t="s">
        <v>929</v>
      </c>
      <c r="Y7" s="396" t="str">
        <f>VLOOKUP($X7,mintahelyek!$AN$3:$BK$23,_xlfn.XMATCH(Y$3,mintahelyek!$AN$2:$BK$2,0),FALSE)</f>
        <v>x</v>
      </c>
      <c r="Z7" s="396" t="str">
        <f>VLOOKUP($X7,mintahelyek!$AN$3:$BK$23,_xlfn.XMATCH(Z$3,mintahelyek!$AN$2:$BK$2,0),FALSE)</f>
        <v>x</v>
      </c>
      <c r="AA7" s="396" t="str">
        <f>VLOOKUP($X7,mintahelyek!$AN$3:$BK$23,_xlfn.XMATCH(AA$3,mintahelyek!$AN$2:$BK$2,0),FALSE)</f>
        <v>x</v>
      </c>
      <c r="AB7" s="396" t="str">
        <f>VLOOKUP($X7,mintahelyek!$AN$3:$BK$23,_xlfn.XMATCH(AB$3,mintahelyek!$AN$2:$BK$2,0),FALSE)</f>
        <v>x</v>
      </c>
      <c r="AC7" s="396" t="str">
        <f>VLOOKUP($X7,mintahelyek!$AN$3:$BK$23,_xlfn.XMATCH(AC$3,mintahelyek!$AN$2:$BK$2,0),FALSE)</f>
        <v>x</v>
      </c>
      <c r="AD7" s="396" t="str">
        <f>VLOOKUP($X7,mintahelyek!$AN$3:$BK$23,_xlfn.XMATCH(AD$3,mintahelyek!$AN$2:$BK$2,0),FALSE)</f>
        <v>x</v>
      </c>
      <c r="AE7" s="396" t="str">
        <f>VLOOKUP($X7,mintahelyek!$AN$3:$BK$23,_xlfn.XMATCH(AE$3,mintahelyek!$AN$2:$BK$2,0),FALSE)</f>
        <v>x</v>
      </c>
      <c r="AF7" s="396" t="str">
        <f>VLOOKUP($X7,mintahelyek!$AN$3:$BK$23,_xlfn.XMATCH(AF$3,mintahelyek!$AN$2:$BK$2,0),FALSE)</f>
        <v>x</v>
      </c>
      <c r="AG7" s="396" t="str">
        <f>VLOOKUP($X7,mintahelyek!$AN$3:$BK$23,_xlfn.XMATCH(AG$3,mintahelyek!$AN$2:$BK$2,0),FALSE)</f>
        <v>x</v>
      </c>
      <c r="AH7" s="396" t="str">
        <f>VLOOKUP($X7,mintahelyek!$AN$3:$BK$23,_xlfn.XMATCH(AH$3,mintahelyek!$AN$2:$BK$2,0),FALSE)</f>
        <v>-</v>
      </c>
      <c r="AI7" s="396" t="str">
        <f>VLOOKUP($X7,mintahelyek!$AN$3:$BK$23,_xlfn.XMATCH(AI$3,mintahelyek!$AN$2:$BK$2,0),FALSE)</f>
        <v>x</v>
      </c>
      <c r="AJ7" s="396" t="str">
        <f>VLOOKUP($X7,mintahelyek!$AN$3:$BK$23,_xlfn.XMATCH(AJ$3,mintahelyek!$AN$2:$BK$2,0),FALSE)</f>
        <v>-</v>
      </c>
      <c r="AK7" s="396" t="str">
        <f>VLOOKUP($X7,mintahelyek!$AN$3:$BK$23,_xlfn.XMATCH(AK$3,mintahelyek!$AN$2:$BK$2,0),FALSE)</f>
        <v>-</v>
      </c>
      <c r="AL7" s="396" t="str">
        <f>VLOOKUP($X7,mintahelyek!$AN$3:$BK$23,_xlfn.XMATCH(AL$3,mintahelyek!$AN$2:$BK$2,0),FALSE)</f>
        <v>-</v>
      </c>
      <c r="AM7" s="396" t="str">
        <f>VLOOKUP($X7,mintahelyek!$AN$3:$BK$23,_xlfn.XMATCH(AM$3,mintahelyek!$AN$2:$BK$2,0),FALSE)</f>
        <v>-</v>
      </c>
      <c r="AN7" s="396" t="str">
        <f>VLOOKUP($X7,mintahelyek!$AN$3:$BK$23,_xlfn.XMATCH(AN$3,mintahelyek!$AN$2:$BK$2,0),FALSE)</f>
        <v>-</v>
      </c>
      <c r="AO7" s="396" t="str">
        <f>VLOOKUP($X7,mintahelyek!$AN$3:$BK$23,_xlfn.XMATCH(AO$3,mintahelyek!$AN$2:$BK$2,0),FALSE)</f>
        <v>-</v>
      </c>
      <c r="AP7" s="396" t="str">
        <f>VLOOKUP($X7,mintahelyek!$AN$3:$BK$23,_xlfn.XMATCH(AP$3,mintahelyek!$AN$2:$BK$2,0),FALSE)</f>
        <v>-</v>
      </c>
      <c r="AQ7" s="396" t="str">
        <f>VLOOKUP($X7,mintahelyek!$AN$3:$BK$23,_xlfn.XMATCH(AQ$3,mintahelyek!$AN$2:$BK$2,0),FALSE)</f>
        <v>x</v>
      </c>
      <c r="AR7" s="396" t="str">
        <f>VLOOKUP($X7,mintahelyek!$AN$3:$BK$23,_xlfn.XMATCH(AR$3,mintahelyek!$AN$2:$BK$2,0),FALSE)</f>
        <v>x</v>
      </c>
      <c r="AS7" s="396" t="str">
        <f>VLOOKUP($X7,mintahelyek!$AN$3:$BK$23,_xlfn.XMATCH(AS$3,mintahelyek!$AN$2:$BK$2,0),FALSE)</f>
        <v>x</v>
      </c>
      <c r="AT7" s="397" t="str">
        <f>VLOOKUP($X7,mintahelyek!$AN$3:$BK$23,_xlfn.XMATCH(AT$3,mintahelyek!$AN$2:$BK$2,0),FALSE)</f>
        <v>-</v>
      </c>
      <c r="AU7" s="400">
        <f t="shared" si="2"/>
        <v>45324</v>
      </c>
      <c r="AV7" s="51"/>
      <c r="AW7" s="51"/>
      <c r="AX7" s="51"/>
      <c r="AY7" s="51"/>
      <c r="AZ7" s="51"/>
      <c r="BA7" s="51"/>
      <c r="BB7" s="51"/>
      <c r="BC7" s="51"/>
      <c r="BD7" s="51"/>
      <c r="BE7" s="51"/>
      <c r="BG7" s="1" t="str">
        <f t="shared" si="3"/>
        <v>3/KIV</v>
      </c>
      <c r="BH7" s="69">
        <f t="shared" si="4"/>
        <v>45294</v>
      </c>
      <c r="BI7" s="70">
        <f t="shared" si="5"/>
        <v>2024</v>
      </c>
      <c r="BJ7" s="70">
        <f t="shared" si="11"/>
        <v>1</v>
      </c>
      <c r="BK7" s="70" t="str">
        <f t="shared" si="6"/>
        <v>KIV</v>
      </c>
      <c r="BL7" s="71" t="str">
        <f t="shared" si="7"/>
        <v>ADATOT BEÍRNI</v>
      </c>
      <c r="BM7" s="72" t="str">
        <f>'NH4'!U11</f>
        <v>&lt;0,04</v>
      </c>
      <c r="BN7" s="72" t="str">
        <f>'NO3'!U11</f>
        <v>&lt;1,00</v>
      </c>
      <c r="BO7" s="72" t="str">
        <f>'NO2'!U11</f>
        <v>0,03</v>
      </c>
      <c r="BP7" s="73" t="str">
        <f>Fe!U11</f>
        <v>0,04</v>
      </c>
      <c r="BQ7" s="73" t="str">
        <f>Mn!U11</f>
        <v>0,04</v>
      </c>
      <c r="BR7" s="72" t="str">
        <f>Cl!T11</f>
        <v>12,0</v>
      </c>
      <c r="BS7" s="72" t="str">
        <f>KOIps!T11</f>
        <v>0,30</v>
      </c>
      <c r="BT7" s="72" t="str">
        <f>ÖK!Q11</f>
        <v>124</v>
      </c>
      <c r="BU7" s="62" t="str">
        <f>ÖK!S11</f>
        <v>44,3</v>
      </c>
      <c r="BV7" s="73" t="str">
        <f>ÖK!T11</f>
        <v>26,9</v>
      </c>
      <c r="BW7" s="72" t="str">
        <f>Lúgosság!T11</f>
        <v>3,20</v>
      </c>
      <c r="BX7" s="62" t="str">
        <f>IF('pH,EC'!O11="-",'pH,EC'!O40,'pH,EC'!O11)</f>
        <v>7,06</v>
      </c>
      <c r="BY7" s="62" t="str">
        <f>IF('pH,EC'!P11="-",'pH,EC'!P40,'pH,EC'!P11)</f>
        <v>410</v>
      </c>
      <c r="BZ7" s="62" t="str">
        <f>IF('pH,EC'!Q11="-",'pH,EC'!Q40,'pH,EC'!Q11)</f>
        <v>10,2</v>
      </c>
      <c r="CA7" s="62" t="str">
        <f>'SO4'!R11</f>
        <v>25</v>
      </c>
      <c r="CB7" s="74" t="str">
        <f>IF('pH,EC'!R11="-",'pH,EC'!R40,'pH,EC'!R11)</f>
        <v>0,14</v>
      </c>
      <c r="CC7" s="74" t="str">
        <f>TEMP!B9</f>
        <v>szintelen</v>
      </c>
      <c r="CD7" s="74" t="str">
        <f>TEMP!C9</f>
        <v>szagtalan</v>
      </c>
      <c r="CE7" s="74" t="str">
        <f>TEMP!D9</f>
        <v>iztelen</v>
      </c>
      <c r="CF7" s="62" t="str">
        <f>Lúgosság!U11</f>
        <v>195</v>
      </c>
      <c r="DF7" s="83" t="str">
        <f t="shared" si="8"/>
        <v>IV</v>
      </c>
      <c r="DG7" s="84">
        <f t="shared" si="9"/>
        <v>2024</v>
      </c>
      <c r="DH7" s="85" t="str">
        <f>'NH4'!M9</f>
        <v>-</v>
      </c>
      <c r="DI7" s="84" t="s">
        <v>130</v>
      </c>
      <c r="DJ7" s="84" t="s">
        <v>81</v>
      </c>
      <c r="DK7" s="84" t="s">
        <v>80</v>
      </c>
      <c r="DL7" s="388" t="s">
        <v>44</v>
      </c>
      <c r="DM7" s="84">
        <f>'NH4'!B7</f>
        <v>0</v>
      </c>
      <c r="DN7" s="84" t="s">
        <v>44</v>
      </c>
      <c r="DO7" s="86" t="s">
        <v>44</v>
      </c>
      <c r="DQ7" s="60" t="s">
        <v>129</v>
      </c>
      <c r="DR7" s="60" t="s">
        <v>143</v>
      </c>
      <c r="DS7" s="61">
        <v>5</v>
      </c>
      <c r="DT7" s="61" t="s">
        <v>44</v>
      </c>
      <c r="DU7" s="61">
        <v>0.03</v>
      </c>
      <c r="DV7" s="62" t="s">
        <v>56</v>
      </c>
      <c r="DW7" s="62" t="s">
        <v>144</v>
      </c>
      <c r="DX7" s="62">
        <v>0.05</v>
      </c>
      <c r="DY7" s="62" t="s">
        <v>145</v>
      </c>
      <c r="DZ7" s="62">
        <v>0.2</v>
      </c>
      <c r="EA7" s="62" t="s">
        <v>86</v>
      </c>
      <c r="EB7" s="62">
        <v>0.5</v>
      </c>
      <c r="EG7" s="63" t="s">
        <v>143</v>
      </c>
      <c r="EH7" s="64" t="str">
        <f>Fe!M9</f>
        <v>-</v>
      </c>
      <c r="EI7" s="56"/>
      <c r="EJ7" s="56"/>
      <c r="EK7" s="56"/>
      <c r="EL7" s="56"/>
      <c r="EM7" s="56"/>
      <c r="EN7" s="56"/>
      <c r="EO7" s="56"/>
      <c r="EP7" s="56"/>
    </row>
    <row r="8" spans="1:146" ht="18" customHeight="1" x14ac:dyDescent="0.5">
      <c r="A8" s="2" t="s">
        <v>985</v>
      </c>
      <c r="B8" s="2">
        <v>4</v>
      </c>
      <c r="C8" s="37" t="str">
        <f>IFERROR(VLOOKUP($A8,mintahelyek!$Y$4:$AJ$98,12,FALSE),"-")</f>
        <v>IV</v>
      </c>
      <c r="D8" s="65" t="str">
        <f t="shared" si="0"/>
        <v>4/IV</v>
      </c>
      <c r="E8" s="36">
        <f t="shared" si="10"/>
        <v>45295</v>
      </c>
      <c r="F8" s="37" t="str">
        <f>IFERROR(VLOOKUP($A8,mintahelyek!$Y$4:$AJ$98,2,FALSE),"-")</f>
        <v>9605 Lcwvcl Ebnxscqc</v>
      </c>
      <c r="G8" s="31" t="str">
        <f>IFERROR(VLOOKUP($A8,mintahelyek!$Y$4:$AJ$98,3,FALSE),"-")</f>
        <v>lLWVCL</v>
      </c>
      <c r="H8" s="37" t="str">
        <f>IFERROR(VLOOKUP($A8,mintahelyek!$Y$4:$AJ$98,4,FALSE),"-")</f>
        <v>Ebnxscqc</v>
      </c>
      <c r="I8" s="37" t="str">
        <f>IFERROR(VLOOKUP($A8,mintahelyek!$Y$4:$AJ$98,5,FALSE),"-")</f>
        <v>KUT</v>
      </c>
      <c r="J8" s="66">
        <f>IFERROR(VLOOKUP($A8,mintahelyek!$Y$4:$AJ$98,6,FALSE),"-")</f>
        <v>20511827</v>
      </c>
      <c r="K8" s="1" t="str">
        <f>IFERROR(VLOOKUP(J8,mintahelyek!$C$3:$D$4,2,FALSE),"-")</f>
        <v>AQUA Szolgáltató Korlátolt Felelősségű Társaság</v>
      </c>
      <c r="L8" s="66" t="str">
        <f>IFERROR(VLOOKUP($A8,mintahelyek!$Y$4:$AJ$98,7,FALSE),"-")</f>
        <v>U</v>
      </c>
      <c r="M8" s="37">
        <v>21889737</v>
      </c>
      <c r="N8" s="1" t="str">
        <f>IFERROR(VLOOKUP(M8,mintahelyek!$H$3:$J$7,2,FALSE),"-")</f>
        <v>NAH-1-1341/2019</v>
      </c>
      <c r="O8" s="67" t="str">
        <f>IFERROR(VLOOKUP(M8,mintahelyek!$H$3:$J$7,3,FALSE),"-")</f>
        <v>Győr-Moson-Sopron Vármegyei Kormányhivatal Népegészségügyi Főosztály Laboratóriumi Osztály TEFONAZ Laboratórium</v>
      </c>
      <c r="P8" s="19" t="str">
        <f>IFERROR(VLOOKUP($A8,mintahelyek!$Y$4:$AJ$98,9,FALSE),"-")</f>
        <v>TERV</v>
      </c>
      <c r="Q8" s="19" t="str">
        <f>IFERROR(VLOOKUP($A8,mintahelyek!$Y$4:$AJ$98,10,FALSE),"-")</f>
        <v>-</v>
      </c>
      <c r="R8" s="67">
        <f>IFERROR(VLOOKUP($A8,mintahelyek!$Y$4:$AJ$98,11,FALSE),"-")</f>
        <v>1712220068</v>
      </c>
      <c r="S8" s="17" t="s">
        <v>277</v>
      </c>
      <c r="T8" s="38">
        <v>21889495</v>
      </c>
      <c r="U8" s="67" t="str">
        <f>IFERROR(VLOOKUP(T8,mintahelyek!$T$3:$V$9,2,FALSE),"-")</f>
        <v>NAH-1-1650/2019</v>
      </c>
      <c r="V8" s="67" t="str">
        <f>IFERROR(VLOOKUP(T8,mintahelyek!$T$3:$V$9,3,FALSE),"-")</f>
        <v>Aqua Szolgáltató Kft. Vizsgáló-laboratórium</v>
      </c>
      <c r="W8" s="68" t="str">
        <f t="shared" si="1"/>
        <v>4/IV-Ebnxscqc</v>
      </c>
      <c r="X8" s="17" t="s">
        <v>847</v>
      </c>
      <c r="Y8" s="396" t="str">
        <f>VLOOKUP($X8,mintahelyek!$AN$3:$BK$23,_xlfn.XMATCH(Y$3,mintahelyek!$AN$2:$BK$2,0),FALSE)</f>
        <v>-</v>
      </c>
      <c r="Z8" s="396" t="str">
        <f>VLOOKUP($X8,mintahelyek!$AN$3:$BK$23,_xlfn.XMATCH(Z$3,mintahelyek!$AN$2:$BK$2,0),FALSE)</f>
        <v>-</v>
      </c>
      <c r="AA8" s="396" t="str">
        <f>VLOOKUP($X8,mintahelyek!$AN$3:$BK$23,_xlfn.XMATCH(AA$3,mintahelyek!$AN$2:$BK$2,0),FALSE)</f>
        <v>-</v>
      </c>
      <c r="AB8" s="396" t="str">
        <f>VLOOKUP($X8,mintahelyek!$AN$3:$BK$23,_xlfn.XMATCH(AB$3,mintahelyek!$AN$2:$BK$2,0),FALSE)</f>
        <v>-</v>
      </c>
      <c r="AC8" s="396" t="str">
        <f>VLOOKUP($X8,mintahelyek!$AN$3:$BK$23,_xlfn.XMATCH(AC$3,mintahelyek!$AN$2:$BK$2,0),FALSE)</f>
        <v>-</v>
      </c>
      <c r="AD8" s="396" t="str">
        <f>VLOOKUP($X8,mintahelyek!$AN$3:$BK$23,_xlfn.XMATCH(AD$3,mintahelyek!$AN$2:$BK$2,0),FALSE)</f>
        <v>-</v>
      </c>
      <c r="AE8" s="396" t="str">
        <f>VLOOKUP($X8,mintahelyek!$AN$3:$BK$23,_xlfn.XMATCH(AE$3,mintahelyek!$AN$2:$BK$2,0),FALSE)</f>
        <v>-</v>
      </c>
      <c r="AF8" s="396" t="str">
        <f>VLOOKUP($X8,mintahelyek!$AN$3:$BK$23,_xlfn.XMATCH(AF$3,mintahelyek!$AN$2:$BK$2,0),FALSE)</f>
        <v>-</v>
      </c>
      <c r="AG8" s="396" t="str">
        <f>VLOOKUP($X8,mintahelyek!$AN$3:$BK$23,_xlfn.XMATCH(AG$3,mintahelyek!$AN$2:$BK$2,0),FALSE)</f>
        <v>-</v>
      </c>
      <c r="AH8" s="396" t="str">
        <f>VLOOKUP($X8,mintahelyek!$AN$3:$BK$23,_xlfn.XMATCH(AH$3,mintahelyek!$AN$2:$BK$2,0),FALSE)</f>
        <v>-</v>
      </c>
      <c r="AI8" s="396" t="str">
        <f>VLOOKUP($X8,mintahelyek!$AN$3:$BK$23,_xlfn.XMATCH(AI$3,mintahelyek!$AN$2:$BK$2,0),FALSE)</f>
        <v>-</v>
      </c>
      <c r="AJ8" s="396" t="str">
        <f>VLOOKUP($X8,mintahelyek!$AN$3:$BK$23,_xlfn.XMATCH(AJ$3,mintahelyek!$AN$2:$BK$2,0),FALSE)</f>
        <v>x</v>
      </c>
      <c r="AK8" s="396" t="str">
        <f>VLOOKUP($X8,mintahelyek!$AN$3:$BK$23,_xlfn.XMATCH(AK$3,mintahelyek!$AN$2:$BK$2,0),FALSE)</f>
        <v>-</v>
      </c>
      <c r="AL8" s="396" t="str">
        <f>VLOOKUP($X8,mintahelyek!$AN$3:$BK$23,_xlfn.XMATCH(AL$3,mintahelyek!$AN$2:$BK$2,0),FALSE)</f>
        <v>-</v>
      </c>
      <c r="AM8" s="396" t="str">
        <f>VLOOKUP($X8,mintahelyek!$AN$3:$BK$23,_xlfn.XMATCH(AM$3,mintahelyek!$AN$2:$BK$2,0),FALSE)</f>
        <v>x</v>
      </c>
      <c r="AN8" s="396" t="str">
        <f>VLOOKUP($X8,mintahelyek!$AN$3:$BK$23,_xlfn.XMATCH(AN$3,mintahelyek!$AN$2:$BK$2,0),FALSE)</f>
        <v>x</v>
      </c>
      <c r="AO8" s="396" t="str">
        <f>VLOOKUP($X8,mintahelyek!$AN$3:$BK$23,_xlfn.XMATCH(AO$3,mintahelyek!$AN$2:$BK$2,0),FALSE)</f>
        <v>x</v>
      </c>
      <c r="AP8" s="396" t="str">
        <f>VLOOKUP($X8,mintahelyek!$AN$3:$BK$23,_xlfn.XMATCH(AP$3,mintahelyek!$AN$2:$BK$2,0),FALSE)</f>
        <v>x</v>
      </c>
      <c r="AQ8" s="396" t="str">
        <f>VLOOKUP($X8,mintahelyek!$AN$3:$BK$23,_xlfn.XMATCH(AQ$3,mintahelyek!$AN$2:$BK$2,0),FALSE)</f>
        <v>-</v>
      </c>
      <c r="AR8" s="396" t="str">
        <f>VLOOKUP($X8,mintahelyek!$AN$3:$BK$23,_xlfn.XMATCH(AR$3,mintahelyek!$AN$2:$BK$2,0),FALSE)</f>
        <v>-</v>
      </c>
      <c r="AS8" s="396" t="str">
        <f>VLOOKUP($X8,mintahelyek!$AN$3:$BK$23,_xlfn.XMATCH(AS$3,mintahelyek!$AN$2:$BK$2,0),FALSE)</f>
        <v>-</v>
      </c>
      <c r="AT8" s="397" t="str">
        <f>VLOOKUP($X8,mintahelyek!$AN$3:$BK$23,_xlfn.XMATCH(AT$3,mintahelyek!$AN$2:$BK$2,0),FALSE)</f>
        <v>-</v>
      </c>
      <c r="AU8" s="400">
        <f t="shared" si="2"/>
        <v>45324</v>
      </c>
      <c r="AV8" s="51"/>
      <c r="AW8" s="51"/>
      <c r="AX8" s="51"/>
      <c r="AY8" s="51"/>
      <c r="AZ8" s="51"/>
      <c r="BA8" s="51"/>
      <c r="BB8" s="51"/>
      <c r="BC8" s="51"/>
      <c r="BD8" s="51"/>
      <c r="BE8" s="51"/>
      <c r="BG8" s="1" t="str">
        <f t="shared" si="3"/>
        <v>4/IV</v>
      </c>
      <c r="BH8" s="69">
        <f t="shared" si="4"/>
        <v>45295</v>
      </c>
      <c r="BI8" s="70">
        <f t="shared" si="5"/>
        <v>2024</v>
      </c>
      <c r="BJ8" s="70">
        <f t="shared" si="11"/>
        <v>1</v>
      </c>
      <c r="BK8" s="70" t="str">
        <f t="shared" si="6"/>
        <v>IV</v>
      </c>
      <c r="BL8" s="71" t="str">
        <f t="shared" si="7"/>
        <v>9605 Lcwvcl Ebnxscqc</v>
      </c>
      <c r="BM8" s="72" t="str">
        <f>'NH4'!U12</f>
        <v>&lt;0,04</v>
      </c>
      <c r="BN8" s="72" t="str">
        <f>'NO3'!U12</f>
        <v>&lt;1,00</v>
      </c>
      <c r="BO8" s="72" t="str">
        <f>'NO2'!U12</f>
        <v>0,04</v>
      </c>
      <c r="BP8" s="73" t="str">
        <f>Fe!U12</f>
        <v>0,05</v>
      </c>
      <c r="BQ8" s="73" t="str">
        <f>Mn!U12</f>
        <v>0,05</v>
      </c>
      <c r="BR8" s="72" t="str">
        <f>Cl!T12</f>
        <v>13,0</v>
      </c>
      <c r="BS8" s="72" t="str">
        <f>KOIps!T12</f>
        <v>0,40</v>
      </c>
      <c r="BT8" s="72" t="str">
        <f>ÖK!Q12</f>
        <v>126</v>
      </c>
      <c r="BU8" s="62" t="str">
        <f>ÖK!S12</f>
        <v>45,0</v>
      </c>
      <c r="BV8" s="73" t="str">
        <f>ÖK!T12</f>
        <v>27,3</v>
      </c>
      <c r="BW8" s="72" t="str">
        <f>Lúgosság!T12</f>
        <v>3,30</v>
      </c>
      <c r="BX8" s="62" t="str">
        <f>IF('pH,EC'!O12="-",'pH,EC'!O41,'pH,EC'!O12)</f>
        <v>7,08</v>
      </c>
      <c r="BY8" s="62" t="str">
        <f>IF('pH,EC'!P12="-",'pH,EC'!P41,'pH,EC'!P12)</f>
        <v>415</v>
      </c>
      <c r="BZ8" s="62" t="str">
        <f>IF('pH,EC'!Q12="-",'pH,EC'!Q41,'pH,EC'!Q12)</f>
        <v>10,3</v>
      </c>
      <c r="CA8" s="62" t="str">
        <f>'SO4'!R12</f>
        <v>33</v>
      </c>
      <c r="CB8" s="74" t="str">
        <f>IF('pH,EC'!R12="-",'pH,EC'!R41,'pH,EC'!R12)</f>
        <v>0,16</v>
      </c>
      <c r="CC8" s="74" t="str">
        <f>TEMP!B10</f>
        <v>szintelen</v>
      </c>
      <c r="CD8" s="74" t="str">
        <f>TEMP!C10</f>
        <v>szagtalan</v>
      </c>
      <c r="CE8" s="74" t="str">
        <f>TEMP!D10</f>
        <v>iztelen</v>
      </c>
      <c r="CF8" s="62" t="str">
        <f>Lúgosság!U12</f>
        <v>201</v>
      </c>
      <c r="CJ8" s="417" t="s">
        <v>65</v>
      </c>
      <c r="CK8" s="417" t="s">
        <v>26</v>
      </c>
      <c r="CL8" s="432" t="s">
        <v>27</v>
      </c>
      <c r="CM8" s="417" t="s">
        <v>258</v>
      </c>
      <c r="CN8" s="415" t="s">
        <v>259</v>
      </c>
      <c r="CO8" s="415" t="s">
        <v>260</v>
      </c>
      <c r="CP8" s="415" t="s">
        <v>261</v>
      </c>
      <c r="CQ8" s="415" t="s">
        <v>225</v>
      </c>
      <c r="CR8" s="415" t="s">
        <v>262</v>
      </c>
      <c r="CS8" s="415" t="s">
        <v>263</v>
      </c>
      <c r="CT8" s="417" t="s">
        <v>240</v>
      </c>
      <c r="CU8" s="415" t="s">
        <v>264</v>
      </c>
      <c r="CV8" s="415" t="s">
        <v>265</v>
      </c>
      <c r="CW8" s="417" t="s">
        <v>241</v>
      </c>
      <c r="CX8" s="415" t="s">
        <v>266</v>
      </c>
      <c r="CY8" s="417" t="s">
        <v>18</v>
      </c>
      <c r="CZ8" s="430" t="s">
        <v>242</v>
      </c>
      <c r="DA8" s="415" t="s">
        <v>267</v>
      </c>
      <c r="DB8" s="415" t="s">
        <v>268</v>
      </c>
      <c r="DC8" s="417" t="s">
        <v>151</v>
      </c>
      <c r="DF8" s="75" t="str">
        <f t="shared" si="8"/>
        <v>IV</v>
      </c>
      <c r="DG8" s="76">
        <f t="shared" si="9"/>
        <v>2024</v>
      </c>
      <c r="DH8" s="77" t="str">
        <f>'NO3'!M9</f>
        <v>-</v>
      </c>
      <c r="DI8" s="76" t="s">
        <v>78</v>
      </c>
      <c r="DJ8" s="76" t="s">
        <v>62</v>
      </c>
      <c r="DK8" s="76" t="str">
        <f>'NO3'!A23</f>
        <v>QC1 (4)</v>
      </c>
      <c r="DL8" s="386">
        <v>5</v>
      </c>
      <c r="DM8" s="87">
        <f>'NO3'!G23</f>
        <v>4.2329999999999997</v>
      </c>
      <c r="DN8" s="76">
        <f>'NO3'!H23</f>
        <v>105.8</v>
      </c>
      <c r="DO8" s="78" t="s">
        <v>44</v>
      </c>
      <c r="DQ8" s="60" t="s">
        <v>129</v>
      </c>
      <c r="DR8" s="60" t="s">
        <v>148</v>
      </c>
      <c r="DS8" s="61">
        <v>5</v>
      </c>
      <c r="DT8" s="61" t="s">
        <v>44</v>
      </c>
      <c r="DU8" s="61">
        <v>0.03</v>
      </c>
      <c r="DV8" s="62" t="s">
        <v>56</v>
      </c>
      <c r="DW8" s="62" t="s">
        <v>149</v>
      </c>
      <c r="DX8" s="62">
        <v>0.03</v>
      </c>
      <c r="DY8" s="62" t="s">
        <v>150</v>
      </c>
      <c r="DZ8" s="62">
        <v>0.1</v>
      </c>
      <c r="EA8" s="62" t="s">
        <v>86</v>
      </c>
      <c r="EB8" s="62">
        <v>0.5</v>
      </c>
      <c r="EG8" s="63" t="s">
        <v>148</v>
      </c>
      <c r="EH8" s="64" t="str">
        <f>Mn!M9</f>
        <v>-</v>
      </c>
      <c r="EI8" s="56"/>
      <c r="EJ8" s="56"/>
      <c r="EK8" s="56"/>
      <c r="EL8" s="56"/>
      <c r="EM8" s="56"/>
      <c r="EN8" s="56"/>
      <c r="EO8" s="56"/>
      <c r="EP8" s="56"/>
    </row>
    <row r="9" spans="1:146" ht="18" customHeight="1" x14ac:dyDescent="0.5">
      <c r="A9" s="2" t="s">
        <v>986</v>
      </c>
      <c r="B9" s="206">
        <v>5</v>
      </c>
      <c r="C9" s="37" t="str">
        <f>IFERROR(VLOOKUP($A9,mintahelyek!$Y$4:$AJ$98,12,FALSE),"-")</f>
        <v>IV</v>
      </c>
      <c r="D9" s="65" t="str">
        <f t="shared" si="0"/>
        <v>5/IV</v>
      </c>
      <c r="E9" s="36">
        <f t="shared" si="10"/>
        <v>45296</v>
      </c>
      <c r="F9" s="37" t="str">
        <f>IFERROR(VLOOKUP($A9,mintahelyek!$Y$4:$AJ$98,2,FALSE),"-")</f>
        <v>3086 Aaompjnhr Ubqpva</v>
      </c>
      <c r="G9" s="31" t="str">
        <f>IFERROR(VLOOKUP($A9,mintahelyek!$Y$4:$AJ$98,3,FALSE),"-")</f>
        <v>lLWVCL</v>
      </c>
      <c r="H9" s="37" t="str">
        <f>IFERROR(VLOOKUP($A9,mintahelyek!$Y$4:$AJ$98,4,FALSE),"-")</f>
        <v>Ubqpva</v>
      </c>
      <c r="I9" s="37" t="str">
        <f>IFERROR(VLOOKUP($A9,mintahelyek!$Y$4:$AJ$98,5,FALSE),"-")</f>
        <v>IV</v>
      </c>
      <c r="J9" s="66">
        <f>IFERROR(VLOOKUP($A9,mintahelyek!$Y$4:$AJ$98,6,FALSE),"-")</f>
        <v>20511827</v>
      </c>
      <c r="K9" s="1" t="str">
        <f>IFERROR(VLOOKUP(J9,mintahelyek!$C$3:$D$4,2,FALSE),"-")</f>
        <v>AQUA Szolgáltató Korlátolt Felelősségű Társaság</v>
      </c>
      <c r="L9" s="66" t="str">
        <f>IFERROR(VLOOKUP($A9,mintahelyek!$Y$4:$AJ$98,7,FALSE),"-")</f>
        <v>U</v>
      </c>
      <c r="M9" s="37">
        <v>21889737</v>
      </c>
      <c r="N9" s="1" t="str">
        <f>IFERROR(VLOOKUP(M9,mintahelyek!$H$3:$J$7,2,FALSE),"-")</f>
        <v>NAH-1-1341/2019</v>
      </c>
      <c r="O9" s="67" t="str">
        <f>IFERROR(VLOOKUP(M9,mintahelyek!$H$3:$J$7,3,FALSE),"-")</f>
        <v>Győr-Moson-Sopron Vármegyei Kormányhivatal Népegészségügyi Főosztály Laboratóriumi Osztály TEFONAZ Laboratórium</v>
      </c>
      <c r="P9" s="19" t="str">
        <f>IFERROR(VLOOKUP($A9,mintahelyek!$Y$4:$AJ$98,9,FALSE),"-")</f>
        <v>TERV</v>
      </c>
      <c r="Q9" s="19" t="str">
        <f>IFERROR(VLOOKUP($A9,mintahelyek!$Y$4:$AJ$98,10,FALSE),"-")</f>
        <v>-</v>
      </c>
      <c r="R9" s="67">
        <f>IFERROR(VLOOKUP($A9,mintahelyek!$Y$4:$AJ$98,11,FALSE),"-")</f>
        <v>2200078623</v>
      </c>
      <c r="S9" s="17" t="s">
        <v>315</v>
      </c>
      <c r="T9" s="38" t="s">
        <v>316</v>
      </c>
      <c r="U9" s="67" t="str">
        <f>IFERROR(VLOOKUP(T9,mintahelyek!$T$3:$V$9,2,FALSE),"-")</f>
        <v>na</v>
      </c>
      <c r="V9" s="67" t="str">
        <f>IFERROR(VLOOKUP(T9,mintahelyek!$T$3:$V$9,3,FALSE),"-")</f>
        <v>Megrendelő</v>
      </c>
      <c r="W9" s="68" t="str">
        <f t="shared" si="1"/>
        <v>5/IV-Ubqpva</v>
      </c>
      <c r="X9" s="17" t="s">
        <v>854</v>
      </c>
      <c r="Y9" s="396" t="str">
        <f>VLOOKUP($X9,mintahelyek!$AN$3:$BK$23,_xlfn.XMATCH(Y$3,mintahelyek!$AN$2:$BK$2,0),FALSE)</f>
        <v>x</v>
      </c>
      <c r="Z9" s="396" t="str">
        <f>VLOOKUP($X9,mintahelyek!$AN$3:$BK$23,_xlfn.XMATCH(Z$3,mintahelyek!$AN$2:$BK$2,0),FALSE)</f>
        <v>x</v>
      </c>
      <c r="AA9" s="396" t="str">
        <f>VLOOKUP($X9,mintahelyek!$AN$3:$BK$23,_xlfn.XMATCH(AA$3,mintahelyek!$AN$2:$BK$2,0),FALSE)</f>
        <v>x</v>
      </c>
      <c r="AB9" s="396" t="str">
        <f>VLOOKUP($X9,mintahelyek!$AN$3:$BK$23,_xlfn.XMATCH(AB$3,mintahelyek!$AN$2:$BK$2,0),FALSE)</f>
        <v>x</v>
      </c>
      <c r="AC9" s="396" t="str">
        <f>VLOOKUP($X9,mintahelyek!$AN$3:$BK$23,_xlfn.XMATCH(AC$3,mintahelyek!$AN$2:$BK$2,0),FALSE)</f>
        <v>x</v>
      </c>
      <c r="AD9" s="396" t="str">
        <f>VLOOKUP($X9,mintahelyek!$AN$3:$BK$23,_xlfn.XMATCH(AD$3,mintahelyek!$AN$2:$BK$2,0),FALSE)</f>
        <v>x</v>
      </c>
      <c r="AE9" s="396" t="str">
        <f>VLOOKUP($X9,mintahelyek!$AN$3:$BK$23,_xlfn.XMATCH(AE$3,mintahelyek!$AN$2:$BK$2,0),FALSE)</f>
        <v>x</v>
      </c>
      <c r="AF9" s="396" t="str">
        <f>VLOOKUP($X9,mintahelyek!$AN$3:$BK$23,_xlfn.XMATCH(AF$3,mintahelyek!$AN$2:$BK$2,0),FALSE)</f>
        <v>x</v>
      </c>
      <c r="AG9" s="396" t="str">
        <f>VLOOKUP($X9,mintahelyek!$AN$3:$BK$23,_xlfn.XMATCH(AG$3,mintahelyek!$AN$2:$BK$2,0),FALSE)</f>
        <v>-</v>
      </c>
      <c r="AH9" s="396" t="str">
        <f>VLOOKUP($X9,mintahelyek!$AN$3:$BK$23,_xlfn.XMATCH(AH$3,mintahelyek!$AN$2:$BK$2,0),FALSE)</f>
        <v>-</v>
      </c>
      <c r="AI9" s="396" t="str">
        <f>VLOOKUP($X9,mintahelyek!$AN$3:$BK$23,_xlfn.XMATCH(AI$3,mintahelyek!$AN$2:$BK$2,0),FALSE)</f>
        <v>x</v>
      </c>
      <c r="AJ9" s="396" t="str">
        <f>VLOOKUP($X9,mintahelyek!$AN$3:$BK$23,_xlfn.XMATCH(AJ$3,mintahelyek!$AN$2:$BK$2,0),FALSE)</f>
        <v>x</v>
      </c>
      <c r="AK9" s="396" t="str">
        <f>VLOOKUP($X9,mintahelyek!$AN$3:$BK$23,_xlfn.XMATCH(AK$3,mintahelyek!$AN$2:$BK$2,0),FALSE)</f>
        <v>x</v>
      </c>
      <c r="AL9" s="396" t="str">
        <f>VLOOKUP($X9,mintahelyek!$AN$3:$BK$23,_xlfn.XMATCH(AL$3,mintahelyek!$AN$2:$BK$2,0),FALSE)</f>
        <v>x</v>
      </c>
      <c r="AM9" s="396" t="str">
        <f>VLOOKUP($X9,mintahelyek!$AN$3:$BK$23,_xlfn.XMATCH(AM$3,mintahelyek!$AN$2:$BK$2,0),FALSE)</f>
        <v>x</v>
      </c>
      <c r="AN9" s="396" t="str">
        <f>VLOOKUP($X9,mintahelyek!$AN$3:$BK$23,_xlfn.XMATCH(AN$3,mintahelyek!$AN$2:$BK$2,0),FALSE)</f>
        <v>x</v>
      </c>
      <c r="AO9" s="396" t="str">
        <f>VLOOKUP($X9,mintahelyek!$AN$3:$BK$23,_xlfn.XMATCH(AO$3,mintahelyek!$AN$2:$BK$2,0),FALSE)</f>
        <v>x</v>
      </c>
      <c r="AP9" s="396" t="str">
        <f>VLOOKUP($X9,mintahelyek!$AN$3:$BK$23,_xlfn.XMATCH(AP$3,mintahelyek!$AN$2:$BK$2,0),FALSE)</f>
        <v>x</v>
      </c>
      <c r="AQ9" s="396" t="str">
        <f>VLOOKUP($X9,mintahelyek!$AN$3:$BK$23,_xlfn.XMATCH(AQ$3,mintahelyek!$AN$2:$BK$2,0),FALSE)</f>
        <v>-</v>
      </c>
      <c r="AR9" s="396" t="str">
        <f>VLOOKUP($X9,mintahelyek!$AN$3:$BK$23,_xlfn.XMATCH(AR$3,mintahelyek!$AN$2:$BK$2,0),FALSE)</f>
        <v>-</v>
      </c>
      <c r="AS9" s="396" t="str">
        <f>VLOOKUP($X9,mintahelyek!$AN$3:$BK$23,_xlfn.XMATCH(AS$3,mintahelyek!$AN$2:$BK$2,0),FALSE)</f>
        <v>-</v>
      </c>
      <c r="AT9" s="397" t="str">
        <f>VLOOKUP($X9,mintahelyek!$AN$3:$BK$23,_xlfn.XMATCH(AT$3,mintahelyek!$AN$2:$BK$2,0),FALSE)</f>
        <v>-</v>
      </c>
      <c r="AU9" s="400">
        <f t="shared" si="2"/>
        <v>45324</v>
      </c>
      <c r="AV9" s="51"/>
      <c r="AW9" s="51"/>
      <c r="AX9" s="51"/>
      <c r="AY9" s="51"/>
      <c r="AZ9" s="51"/>
      <c r="BA9" s="51"/>
      <c r="BB9" s="51"/>
      <c r="BC9" s="51"/>
      <c r="BD9" s="51"/>
      <c r="BE9" s="51"/>
      <c r="BG9" s="1" t="str">
        <f t="shared" si="3"/>
        <v>5/IV</v>
      </c>
      <c r="BH9" s="69">
        <f t="shared" si="4"/>
        <v>45296</v>
      </c>
      <c r="BI9" s="70">
        <f t="shared" si="5"/>
        <v>2024</v>
      </c>
      <c r="BJ9" s="70">
        <f t="shared" si="11"/>
        <v>1</v>
      </c>
      <c r="BK9" s="70" t="str">
        <f t="shared" si="6"/>
        <v>IV</v>
      </c>
      <c r="BL9" s="71" t="str">
        <f t="shared" si="7"/>
        <v>3086 Aaompjnhr Ubqpva</v>
      </c>
      <c r="BM9" s="72" t="str">
        <f>'NH4'!U13</f>
        <v>0,04</v>
      </c>
      <c r="BN9" s="72" t="str">
        <f>'NO3'!U13</f>
        <v>1,25</v>
      </c>
      <c r="BO9" s="72" t="str">
        <f>'NO2'!U13</f>
        <v>0,05</v>
      </c>
      <c r="BP9" s="73" t="str">
        <f>Fe!U13</f>
        <v>0,06</v>
      </c>
      <c r="BQ9" s="73" t="str">
        <f>Mn!U13</f>
        <v>0,07</v>
      </c>
      <c r="BR9" s="72" t="str">
        <f>Cl!T13</f>
        <v>14,0</v>
      </c>
      <c r="BS9" s="72" t="str">
        <f>KOIps!T13</f>
        <v>0,50</v>
      </c>
      <c r="BT9" s="72" t="str">
        <f>ÖK!Q13</f>
        <v>128</v>
      </c>
      <c r="BU9" s="62" t="str">
        <f>ÖK!S13</f>
        <v>45,7</v>
      </c>
      <c r="BV9" s="73" t="str">
        <f>ÖK!T13</f>
        <v>27,7</v>
      </c>
      <c r="BW9" s="72" t="str">
        <f>Lúgosság!T13</f>
        <v>3,40</v>
      </c>
      <c r="BX9" s="62" t="str">
        <f>IF('pH,EC'!O13="-",'pH,EC'!O42,'pH,EC'!O13)</f>
        <v>7,10</v>
      </c>
      <c r="BY9" s="62" t="str">
        <f>IF('pH,EC'!P13="-",'pH,EC'!P42,'pH,EC'!P13)</f>
        <v>420</v>
      </c>
      <c r="BZ9" s="62" t="str">
        <f>IF('pH,EC'!Q13="-",'pH,EC'!Q42,'pH,EC'!Q13)</f>
        <v>10,4</v>
      </c>
      <c r="CA9" s="62" t="str">
        <f>'SO4'!R13</f>
        <v>41</v>
      </c>
      <c r="CB9" s="74" t="str">
        <f>IF('pH,EC'!R13="-",'pH,EC'!R42,'pH,EC'!R13)</f>
        <v>0,18</v>
      </c>
      <c r="CC9" s="74" t="str">
        <f>TEMP!B11</f>
        <v>szintelen</v>
      </c>
      <c r="CD9" s="74" t="str">
        <f>TEMP!C11</f>
        <v>szagtalan</v>
      </c>
      <c r="CE9" s="74" t="str">
        <f>TEMP!D11</f>
        <v>iztelen</v>
      </c>
      <c r="CF9" s="62" t="str">
        <f>Lúgosság!U13</f>
        <v>207</v>
      </c>
      <c r="CJ9" s="418"/>
      <c r="CK9" s="418"/>
      <c r="CL9" s="433"/>
      <c r="CM9" s="418"/>
      <c r="CN9" s="416"/>
      <c r="CO9" s="416"/>
      <c r="CP9" s="416"/>
      <c r="CQ9" s="416"/>
      <c r="CR9" s="416"/>
      <c r="CS9" s="416"/>
      <c r="CT9" s="418"/>
      <c r="CU9" s="416"/>
      <c r="CV9" s="416"/>
      <c r="CW9" s="418"/>
      <c r="CX9" s="416"/>
      <c r="CY9" s="418"/>
      <c r="CZ9" s="431"/>
      <c r="DA9" s="416"/>
      <c r="DB9" s="416"/>
      <c r="DC9" s="418"/>
      <c r="DF9" s="79" t="str">
        <f t="shared" si="8"/>
        <v>IV</v>
      </c>
      <c r="DG9" s="71">
        <f t="shared" si="9"/>
        <v>2024</v>
      </c>
      <c r="DH9" s="80" t="str">
        <f>'NO3'!M9</f>
        <v>-</v>
      </c>
      <c r="DI9" s="71" t="s">
        <v>78</v>
      </c>
      <c r="DJ9" s="71" t="s">
        <v>62</v>
      </c>
      <c r="DK9" s="71" t="str">
        <f>'NO3'!A24</f>
        <v>QC2 (50)</v>
      </c>
      <c r="DL9" s="387">
        <v>50</v>
      </c>
      <c r="DM9" s="88">
        <f>'NO3'!G24</f>
        <v>4.4820000000000002</v>
      </c>
      <c r="DN9" s="71">
        <f>'NO3'!H24</f>
        <v>9</v>
      </c>
      <c r="DO9" s="81" t="s">
        <v>44</v>
      </c>
      <c r="DQ9" s="60" t="s">
        <v>129</v>
      </c>
      <c r="DR9" s="60" t="s">
        <v>18</v>
      </c>
      <c r="DS9" s="62" t="s">
        <v>60</v>
      </c>
      <c r="DT9" s="62" t="s">
        <v>60</v>
      </c>
      <c r="DU9" s="61" t="s">
        <v>44</v>
      </c>
      <c r="DV9" s="62">
        <v>2</v>
      </c>
      <c r="DW9" s="62" t="s">
        <v>89</v>
      </c>
      <c r="DX9" s="62">
        <v>4.01</v>
      </c>
      <c r="DY9" s="62" t="s">
        <v>90</v>
      </c>
      <c r="DZ9" s="62">
        <v>7</v>
      </c>
      <c r="EA9" s="62" t="s">
        <v>91</v>
      </c>
      <c r="EB9" s="62">
        <v>10.01</v>
      </c>
      <c r="EG9" s="63" t="s">
        <v>18</v>
      </c>
      <c r="EH9" s="64" t="str">
        <f>'pH,EC'!M9</f>
        <v>-</v>
      </c>
      <c r="EI9" s="56"/>
      <c r="EJ9" s="56"/>
      <c r="EK9" s="56"/>
      <c r="EL9" s="56"/>
      <c r="EM9" s="56"/>
      <c r="EN9" s="56"/>
      <c r="EO9" s="56"/>
      <c r="EP9" s="56"/>
    </row>
    <row r="10" spans="1:146" ht="18" customHeight="1" thickBot="1" x14ac:dyDescent="0.55000000000000004">
      <c r="A10" s="2" t="s">
        <v>987</v>
      </c>
      <c r="B10" s="2">
        <v>6</v>
      </c>
      <c r="C10" s="37" t="str">
        <f>IFERROR(VLOOKUP($A10,mintahelyek!$Y$4:$AJ$98,12,FALSE),"-")</f>
        <v>IV</v>
      </c>
      <c r="D10" s="65" t="str">
        <f t="shared" si="0"/>
        <v>6/IV</v>
      </c>
      <c r="E10" s="36">
        <f t="shared" si="10"/>
        <v>45297</v>
      </c>
      <c r="F10" s="37" t="str">
        <f>IFERROR(VLOOKUP($A10,mintahelyek!$Y$4:$AJ$98,2,FALSE),"-")</f>
        <v>7919 Jxbxjr Eouypz</v>
      </c>
      <c r="G10" s="31" t="str">
        <f>IFERROR(VLOOKUP($A10,mintahelyek!$Y$4:$AJ$98,3,FALSE),"-")</f>
        <v>lLWVCL</v>
      </c>
      <c r="H10" s="37" t="str">
        <f>IFERROR(VLOOKUP($A10,mintahelyek!$Y$4:$AJ$98,4,FALSE),"-")</f>
        <v>Eouypz</v>
      </c>
      <c r="I10" s="37" t="str">
        <f>IFERROR(VLOOKUP($A10,mintahelyek!$Y$4:$AJ$98,5,FALSE),"-")</f>
        <v>IV</v>
      </c>
      <c r="J10" s="66">
        <f>IFERROR(VLOOKUP($A10,mintahelyek!$Y$4:$AJ$98,6,FALSE),"-")</f>
        <v>20511827</v>
      </c>
      <c r="K10" s="1" t="str">
        <f>IFERROR(VLOOKUP(J10,mintahelyek!$C$3:$D$4,2,FALSE),"-")</f>
        <v>AQUA Szolgáltató Korlátolt Felelősségű Társaság</v>
      </c>
      <c r="L10" s="66" t="str">
        <f>IFERROR(VLOOKUP($A10,mintahelyek!$Y$4:$AJ$98,7,FALSE),"-")</f>
        <v>U</v>
      </c>
      <c r="M10" s="37">
        <f>IFERROR(VLOOKUP($A10,mintahelyek!$Y$4:$AJ$98,8,FALSE),"-")</f>
        <v>21889495</v>
      </c>
      <c r="N10" s="1" t="str">
        <f>IFERROR(VLOOKUP(M10,mintahelyek!$H$3:$J$7,2,FALSE),"-")</f>
        <v>NAH-1-1650/2019</v>
      </c>
      <c r="O10" s="67" t="str">
        <f>IFERROR(VLOOKUP(M10,mintahelyek!$H$3:$J$7,3,FALSE),"-")</f>
        <v>Aqua Szolgáltató Kft. Vizsgáló-laboratórium</v>
      </c>
      <c r="P10" s="19" t="str">
        <f>IFERROR(VLOOKUP($A10,mintahelyek!$Y$4:$AJ$98,9,FALSE),"-")</f>
        <v>TERV</v>
      </c>
      <c r="Q10" s="19" t="str">
        <f>IFERROR(VLOOKUP($A10,mintahelyek!$Y$4:$AJ$98,10,FALSE),"-")</f>
        <v>-</v>
      </c>
      <c r="R10" s="67">
        <f>IFERROR(VLOOKUP($A10,mintahelyek!$Y$4:$AJ$98,11,FALSE),"-")</f>
        <v>6823384529</v>
      </c>
      <c r="S10" s="17" t="s">
        <v>60</v>
      </c>
      <c r="T10" s="38" t="s">
        <v>60</v>
      </c>
      <c r="U10" s="67" t="str">
        <f>IFERROR(VLOOKUP(T10,mintahelyek!$T$3:$V$9,2,FALSE),"-")</f>
        <v>na</v>
      </c>
      <c r="V10" s="67" t="str">
        <f>IFERROR(VLOOKUP(T10,mintahelyek!$T$3:$V$9,3,FALSE),"-")</f>
        <v>ismeretlen</v>
      </c>
      <c r="W10" s="68" t="str">
        <f t="shared" si="1"/>
        <v>6/IV-Eouypz</v>
      </c>
      <c r="X10" s="17" t="s">
        <v>44</v>
      </c>
      <c r="Y10" s="396" t="str">
        <f>VLOOKUP($X10,mintahelyek!$AN$3:$BK$23,_xlfn.XMATCH(Y$3,mintahelyek!$AN$2:$BK$2,0),FALSE)</f>
        <v>-</v>
      </c>
      <c r="Z10" s="396" t="str">
        <f>VLOOKUP($X10,mintahelyek!$AN$3:$BK$23,_xlfn.XMATCH(Z$3,mintahelyek!$AN$2:$BK$2,0),FALSE)</f>
        <v>-</v>
      </c>
      <c r="AA10" s="396" t="str">
        <f>VLOOKUP($X10,mintahelyek!$AN$3:$BK$23,_xlfn.XMATCH(AA$3,mintahelyek!$AN$2:$BK$2,0),FALSE)</f>
        <v>-</v>
      </c>
      <c r="AB10" s="396" t="str">
        <f>VLOOKUP($X10,mintahelyek!$AN$3:$BK$23,_xlfn.XMATCH(AB$3,mintahelyek!$AN$2:$BK$2,0),FALSE)</f>
        <v>-</v>
      </c>
      <c r="AC10" s="396" t="str">
        <f>VLOOKUP($X10,mintahelyek!$AN$3:$BK$23,_xlfn.XMATCH(AC$3,mintahelyek!$AN$2:$BK$2,0),FALSE)</f>
        <v>-</v>
      </c>
      <c r="AD10" s="396" t="str">
        <f>VLOOKUP($X10,mintahelyek!$AN$3:$BK$23,_xlfn.XMATCH(AD$3,mintahelyek!$AN$2:$BK$2,0),FALSE)</f>
        <v>-</v>
      </c>
      <c r="AE10" s="396" t="str">
        <f>VLOOKUP($X10,mintahelyek!$AN$3:$BK$23,_xlfn.XMATCH(AE$3,mintahelyek!$AN$2:$BK$2,0),FALSE)</f>
        <v>-</v>
      </c>
      <c r="AF10" s="396" t="str">
        <f>VLOOKUP($X10,mintahelyek!$AN$3:$BK$23,_xlfn.XMATCH(AF$3,mintahelyek!$AN$2:$BK$2,0),FALSE)</f>
        <v>-</v>
      </c>
      <c r="AG10" s="396" t="str">
        <f>VLOOKUP($X10,mintahelyek!$AN$3:$BK$23,_xlfn.XMATCH(AG$3,mintahelyek!$AN$2:$BK$2,0),FALSE)</f>
        <v>-</v>
      </c>
      <c r="AH10" s="396" t="str">
        <f>VLOOKUP($X10,mintahelyek!$AN$3:$BK$23,_xlfn.XMATCH(AH$3,mintahelyek!$AN$2:$BK$2,0),FALSE)</f>
        <v>-</v>
      </c>
      <c r="AI10" s="396" t="str">
        <f>VLOOKUP($X10,mintahelyek!$AN$3:$BK$23,_xlfn.XMATCH(AI$3,mintahelyek!$AN$2:$BK$2,0),FALSE)</f>
        <v>-</v>
      </c>
      <c r="AJ10" s="396" t="str">
        <f>VLOOKUP($X10,mintahelyek!$AN$3:$BK$23,_xlfn.XMATCH(AJ$3,mintahelyek!$AN$2:$BK$2,0),FALSE)</f>
        <v>-</v>
      </c>
      <c r="AK10" s="396" t="str">
        <f>VLOOKUP($X10,mintahelyek!$AN$3:$BK$23,_xlfn.XMATCH(AK$3,mintahelyek!$AN$2:$BK$2,0),FALSE)</f>
        <v>-</v>
      </c>
      <c r="AL10" s="396" t="str">
        <f>VLOOKUP($X10,mintahelyek!$AN$3:$BK$23,_xlfn.XMATCH(AL$3,mintahelyek!$AN$2:$BK$2,0),FALSE)</f>
        <v>-</v>
      </c>
      <c r="AM10" s="396" t="str">
        <f>VLOOKUP($X10,mintahelyek!$AN$3:$BK$23,_xlfn.XMATCH(AM$3,mintahelyek!$AN$2:$BK$2,0),FALSE)</f>
        <v>-</v>
      </c>
      <c r="AN10" s="396" t="str">
        <f>VLOOKUP($X10,mintahelyek!$AN$3:$BK$23,_xlfn.XMATCH(AN$3,mintahelyek!$AN$2:$BK$2,0),FALSE)</f>
        <v>-</v>
      </c>
      <c r="AO10" s="396" t="str">
        <f>VLOOKUP($X10,mintahelyek!$AN$3:$BK$23,_xlfn.XMATCH(AO$3,mintahelyek!$AN$2:$BK$2,0),FALSE)</f>
        <v>-</v>
      </c>
      <c r="AP10" s="396" t="str">
        <f>VLOOKUP($X10,mintahelyek!$AN$3:$BK$23,_xlfn.XMATCH(AP$3,mintahelyek!$AN$2:$BK$2,0),FALSE)</f>
        <v>-</v>
      </c>
      <c r="AQ10" s="396" t="str">
        <f>VLOOKUP($X10,mintahelyek!$AN$3:$BK$23,_xlfn.XMATCH(AQ$3,mintahelyek!$AN$2:$BK$2,0),FALSE)</f>
        <v>-</v>
      </c>
      <c r="AR10" s="396" t="str">
        <f>VLOOKUP($X10,mintahelyek!$AN$3:$BK$23,_xlfn.XMATCH(AR$3,mintahelyek!$AN$2:$BK$2,0),FALSE)</f>
        <v>-</v>
      </c>
      <c r="AS10" s="396" t="str">
        <f>VLOOKUP($X10,mintahelyek!$AN$3:$BK$23,_xlfn.XMATCH(AS$3,mintahelyek!$AN$2:$BK$2,0),FALSE)</f>
        <v>-</v>
      </c>
      <c r="AT10" s="397" t="str">
        <f>VLOOKUP($X10,mintahelyek!$AN$3:$BK$23,_xlfn.XMATCH(AT$3,mintahelyek!$AN$2:$BK$2,0),FALSE)</f>
        <v>-</v>
      </c>
      <c r="AU10" s="400">
        <f t="shared" si="2"/>
        <v>45324</v>
      </c>
      <c r="AV10" s="51"/>
      <c r="AW10" s="51"/>
      <c r="AX10" s="51"/>
      <c r="AY10" s="51"/>
      <c r="AZ10" s="51"/>
      <c r="BA10" s="51"/>
      <c r="BB10" s="51"/>
      <c r="BC10" s="51"/>
      <c r="BD10" s="51"/>
      <c r="BE10" s="51"/>
      <c r="BG10" s="1" t="str">
        <f t="shared" si="3"/>
        <v>6/IV</v>
      </c>
      <c r="BH10" s="69">
        <f t="shared" si="4"/>
        <v>45297</v>
      </c>
      <c r="BI10" s="70">
        <f t="shared" si="5"/>
        <v>2024</v>
      </c>
      <c r="BJ10" s="70">
        <f t="shared" si="11"/>
        <v>1</v>
      </c>
      <c r="BK10" s="70" t="str">
        <f t="shared" si="6"/>
        <v>IV</v>
      </c>
      <c r="BL10" s="71" t="str">
        <f t="shared" si="7"/>
        <v>7919 Jxbxjr Eouypz</v>
      </c>
      <c r="BM10" s="72" t="str">
        <f>'NH4'!U14</f>
        <v>0,05</v>
      </c>
      <c r="BN10" s="72" t="str">
        <f>'NO3'!U14</f>
        <v>1,49</v>
      </c>
      <c r="BO10" s="72" t="str">
        <f>'NO2'!U14</f>
        <v>0,06</v>
      </c>
      <c r="BP10" s="73" t="str">
        <f>Fe!U14</f>
        <v>0,07</v>
      </c>
      <c r="BQ10" s="73" t="str">
        <f>Mn!U14</f>
        <v>0,08</v>
      </c>
      <c r="BR10" s="72" t="str">
        <f>Cl!T14</f>
        <v>15,0</v>
      </c>
      <c r="BS10" s="72" t="str">
        <f>KOIps!T14</f>
        <v>0,60</v>
      </c>
      <c r="BT10" s="72" t="str">
        <f>ÖK!Q14</f>
        <v>130</v>
      </c>
      <c r="BU10" s="62" t="str">
        <f>ÖK!S14</f>
        <v>46,5</v>
      </c>
      <c r="BV10" s="73" t="str">
        <f>ÖK!T14</f>
        <v>28,2</v>
      </c>
      <c r="BW10" s="72" t="str">
        <f>Lúgosság!T14</f>
        <v>3,50</v>
      </c>
      <c r="BX10" s="62" t="str">
        <f>IF('pH,EC'!O14="-",'pH,EC'!O43,'pH,EC'!O14)</f>
        <v>7,12</v>
      </c>
      <c r="BY10" s="62" t="str">
        <f>IF('pH,EC'!P14="-",'pH,EC'!P43,'pH,EC'!P14)</f>
        <v>425</v>
      </c>
      <c r="BZ10" s="62" t="str">
        <f>IF('pH,EC'!Q14="-",'pH,EC'!Q43,'pH,EC'!Q14)</f>
        <v>10,5</v>
      </c>
      <c r="CA10" s="62" t="str">
        <f>'SO4'!R14</f>
        <v>49</v>
      </c>
      <c r="CB10" s="74" t="str">
        <f>IF('pH,EC'!R14="-",'pH,EC'!R43,'pH,EC'!R14)</f>
        <v>0,20</v>
      </c>
      <c r="CC10" s="74" t="str">
        <f>TEMP!B12</f>
        <v>szintelen</v>
      </c>
      <c r="CD10" s="74" t="str">
        <f>TEMP!C12</f>
        <v>szagtalan</v>
      </c>
      <c r="CE10" s="74" t="str">
        <f>TEMP!D12</f>
        <v>iztelen</v>
      </c>
      <c r="CF10" s="62" t="str">
        <f>Lúgosság!U14</f>
        <v>214</v>
      </c>
      <c r="CJ10" s="419"/>
      <c r="CK10" s="419"/>
      <c r="CL10" s="434"/>
      <c r="CM10" s="419"/>
      <c r="CN10" s="416"/>
      <c r="CO10" s="416"/>
      <c r="CP10" s="416"/>
      <c r="CQ10" s="416"/>
      <c r="CR10" s="416"/>
      <c r="CS10" s="416"/>
      <c r="CT10" s="419"/>
      <c r="CU10" s="416"/>
      <c r="CV10" s="416"/>
      <c r="CW10" s="419"/>
      <c r="CX10" s="416"/>
      <c r="CY10" s="419"/>
      <c r="CZ10" s="431"/>
      <c r="DA10" s="416"/>
      <c r="DB10" s="416"/>
      <c r="DC10" s="419"/>
      <c r="DF10" s="83" t="str">
        <f t="shared" si="8"/>
        <v>IV</v>
      </c>
      <c r="DG10" s="84">
        <f t="shared" si="9"/>
        <v>2024</v>
      </c>
      <c r="DH10" s="85" t="str">
        <f>'NO3'!M9</f>
        <v>-</v>
      </c>
      <c r="DI10" s="84" t="s">
        <v>78</v>
      </c>
      <c r="DJ10" s="84" t="s">
        <v>81</v>
      </c>
      <c r="DK10" s="84" t="s">
        <v>80</v>
      </c>
      <c r="DL10" s="388" t="s">
        <v>44</v>
      </c>
      <c r="DM10" s="89">
        <f>'NO3'!B7</f>
        <v>0</v>
      </c>
      <c r="DN10" s="84" t="s">
        <v>44</v>
      </c>
      <c r="DO10" s="86" t="s">
        <v>44</v>
      </c>
      <c r="DQ10" s="60" t="s">
        <v>129</v>
      </c>
      <c r="DR10" s="60" t="s">
        <v>39</v>
      </c>
      <c r="DS10" s="62" t="s">
        <v>60</v>
      </c>
      <c r="DT10" s="62" t="s">
        <v>60</v>
      </c>
      <c r="DU10" s="61">
        <v>10</v>
      </c>
      <c r="DV10" s="62">
        <v>0</v>
      </c>
      <c r="DW10" s="62" t="s">
        <v>106</v>
      </c>
      <c r="DX10" s="62">
        <v>1276</v>
      </c>
      <c r="DY10" s="62" t="s">
        <v>105</v>
      </c>
      <c r="DZ10" s="62">
        <v>132.80000000000001</v>
      </c>
      <c r="EA10" s="62" t="s">
        <v>44</v>
      </c>
      <c r="EB10" s="62" t="s">
        <v>44</v>
      </c>
      <c r="EG10" s="63" t="s">
        <v>18</v>
      </c>
      <c r="EH10" s="64" t="str">
        <f>'pH,EC'!M38</f>
        <v>-</v>
      </c>
      <c r="EI10" s="56"/>
      <c r="EJ10" s="56"/>
      <c r="EK10" s="56"/>
      <c r="EL10" s="56"/>
      <c r="EM10" s="56"/>
      <c r="EN10" s="56"/>
      <c r="EO10" s="56"/>
      <c r="EP10" s="56"/>
    </row>
    <row r="11" spans="1:146" ht="19.5" customHeight="1" x14ac:dyDescent="0.5">
      <c r="A11" s="2" t="s">
        <v>988</v>
      </c>
      <c r="B11" s="206">
        <v>7</v>
      </c>
      <c r="C11" s="37" t="str">
        <f>IFERROR(VLOOKUP($A11,mintahelyek!$Y$4:$AJ$98,12,FALSE),"-")</f>
        <v>IV</v>
      </c>
      <c r="D11" s="65" t="str">
        <f t="shared" si="0"/>
        <v>7/IV</v>
      </c>
      <c r="E11" s="36">
        <f t="shared" si="10"/>
        <v>45298</v>
      </c>
      <c r="F11" s="37" t="str">
        <f>IFERROR(VLOOKUP($A11,mintahelyek!$Y$4:$AJ$98,2,FALSE),"-")</f>
        <v>8270 Owijzsgzrpr Rkohqy</v>
      </c>
      <c r="G11" s="31" t="str">
        <f>IFERROR(VLOOKUP($A11,mintahelyek!$Y$4:$AJ$98,3,FALSE),"-")</f>
        <v>lLWVCL</v>
      </c>
      <c r="H11" s="37" t="str">
        <f>IFERROR(VLOOKUP($A11,mintahelyek!$Y$4:$AJ$98,4,FALSE),"-")</f>
        <v>Rkohqy</v>
      </c>
      <c r="I11" s="37" t="str">
        <f>IFERROR(VLOOKUP($A11,mintahelyek!$Y$4:$AJ$98,5,FALSE),"-")</f>
        <v>IV</v>
      </c>
      <c r="J11" s="66">
        <f>IFERROR(VLOOKUP($A11,mintahelyek!$Y$4:$AJ$98,6,FALSE),"-")</f>
        <v>20511827</v>
      </c>
      <c r="K11" s="1" t="str">
        <f>IFERROR(VLOOKUP(J11,mintahelyek!$C$3:$D$4,2,FALSE),"-")</f>
        <v>AQUA Szolgáltató Korlátolt Felelősségű Társaság</v>
      </c>
      <c r="L11" s="66" t="str">
        <f>IFERROR(VLOOKUP($A11,mintahelyek!$Y$4:$AJ$98,7,FALSE),"-")</f>
        <v>U</v>
      </c>
      <c r="M11" s="37">
        <f>IFERROR(VLOOKUP($A11,mintahelyek!$Y$4:$AJ$98,8,FALSE),"-")</f>
        <v>21889495</v>
      </c>
      <c r="N11" s="1" t="str">
        <f>IFERROR(VLOOKUP(M11,mintahelyek!$H$3:$J$7,2,FALSE),"-")</f>
        <v>NAH-1-1650/2019</v>
      </c>
      <c r="O11" s="67" t="str">
        <f>IFERROR(VLOOKUP(M11,mintahelyek!$H$3:$J$7,3,FALSE),"-")</f>
        <v>Aqua Szolgáltató Kft. Vizsgáló-laboratórium</v>
      </c>
      <c r="P11" s="19" t="str">
        <f>IFERROR(VLOOKUP($A11,mintahelyek!$Y$4:$AJ$98,9,FALSE),"-")</f>
        <v>TERV</v>
      </c>
      <c r="Q11" s="19" t="str">
        <f>IFERROR(VLOOKUP($A11,mintahelyek!$Y$4:$AJ$98,10,FALSE),"-")</f>
        <v>-</v>
      </c>
      <c r="R11" s="67">
        <f>IFERROR(VLOOKUP($A11,mintahelyek!$Y$4:$AJ$98,11,FALSE),"-")</f>
        <v>5291592686</v>
      </c>
      <c r="S11" s="17" t="s">
        <v>277</v>
      </c>
      <c r="T11" s="38">
        <v>21889495</v>
      </c>
      <c r="U11" s="67" t="str">
        <f>IFERROR(VLOOKUP(T11,mintahelyek!$T$3:$V$9,2,FALSE),"-")</f>
        <v>NAH-1-1650/2019</v>
      </c>
      <c r="V11" s="67" t="str">
        <f>IFERROR(VLOOKUP(T11,mintahelyek!$T$3:$V$9,3,FALSE),"-")</f>
        <v>Aqua Szolgáltató Kft. Vizsgáló-laboratórium</v>
      </c>
      <c r="W11" s="68" t="str">
        <f t="shared" si="1"/>
        <v>7/IV-Rkohqy</v>
      </c>
      <c r="X11" s="17" t="s">
        <v>44</v>
      </c>
      <c r="Y11" s="396" t="str">
        <f>VLOOKUP($X11,mintahelyek!$AN$3:$BK$23,_xlfn.XMATCH(Y$3,mintahelyek!$AN$2:$BK$2,0),FALSE)</f>
        <v>-</v>
      </c>
      <c r="Z11" s="396" t="str">
        <f>VLOOKUP($X11,mintahelyek!$AN$3:$BK$23,_xlfn.XMATCH(Z$3,mintahelyek!$AN$2:$BK$2,0),FALSE)</f>
        <v>-</v>
      </c>
      <c r="AA11" s="396" t="str">
        <f>VLOOKUP($X11,mintahelyek!$AN$3:$BK$23,_xlfn.XMATCH(AA$3,mintahelyek!$AN$2:$BK$2,0),FALSE)</f>
        <v>-</v>
      </c>
      <c r="AB11" s="396" t="str">
        <f>VLOOKUP($X11,mintahelyek!$AN$3:$BK$23,_xlfn.XMATCH(AB$3,mintahelyek!$AN$2:$BK$2,0),FALSE)</f>
        <v>-</v>
      </c>
      <c r="AC11" s="396" t="str">
        <f>VLOOKUP($X11,mintahelyek!$AN$3:$BK$23,_xlfn.XMATCH(AC$3,mintahelyek!$AN$2:$BK$2,0),FALSE)</f>
        <v>-</v>
      </c>
      <c r="AD11" s="396" t="str">
        <f>VLOOKUP($X11,mintahelyek!$AN$3:$BK$23,_xlfn.XMATCH(AD$3,mintahelyek!$AN$2:$BK$2,0),FALSE)</f>
        <v>-</v>
      </c>
      <c r="AE11" s="396" t="str">
        <f>VLOOKUP($X11,mintahelyek!$AN$3:$BK$23,_xlfn.XMATCH(AE$3,mintahelyek!$AN$2:$BK$2,0),FALSE)</f>
        <v>-</v>
      </c>
      <c r="AF11" s="396" t="str">
        <f>VLOOKUP($X11,mintahelyek!$AN$3:$BK$23,_xlfn.XMATCH(AF$3,mintahelyek!$AN$2:$BK$2,0),FALSE)</f>
        <v>-</v>
      </c>
      <c r="AG11" s="396" t="str">
        <f>VLOOKUP($X11,mintahelyek!$AN$3:$BK$23,_xlfn.XMATCH(AG$3,mintahelyek!$AN$2:$BK$2,0),FALSE)</f>
        <v>-</v>
      </c>
      <c r="AH11" s="396" t="str">
        <f>VLOOKUP($X11,mintahelyek!$AN$3:$BK$23,_xlfn.XMATCH(AH$3,mintahelyek!$AN$2:$BK$2,0),FALSE)</f>
        <v>-</v>
      </c>
      <c r="AI11" s="396" t="str">
        <f>VLOOKUP($X11,mintahelyek!$AN$3:$BK$23,_xlfn.XMATCH(AI$3,mintahelyek!$AN$2:$BK$2,0),FALSE)</f>
        <v>-</v>
      </c>
      <c r="AJ11" s="396" t="str">
        <f>VLOOKUP($X11,mintahelyek!$AN$3:$BK$23,_xlfn.XMATCH(AJ$3,mintahelyek!$AN$2:$BK$2,0),FALSE)</f>
        <v>-</v>
      </c>
      <c r="AK11" s="396" t="str">
        <f>VLOOKUP($X11,mintahelyek!$AN$3:$BK$23,_xlfn.XMATCH(AK$3,mintahelyek!$AN$2:$BK$2,0),FALSE)</f>
        <v>-</v>
      </c>
      <c r="AL11" s="396" t="str">
        <f>VLOOKUP($X11,mintahelyek!$AN$3:$BK$23,_xlfn.XMATCH(AL$3,mintahelyek!$AN$2:$BK$2,0),FALSE)</f>
        <v>-</v>
      </c>
      <c r="AM11" s="396" t="str">
        <f>VLOOKUP($X11,mintahelyek!$AN$3:$BK$23,_xlfn.XMATCH(AM$3,mintahelyek!$AN$2:$BK$2,0),FALSE)</f>
        <v>-</v>
      </c>
      <c r="AN11" s="396" t="str">
        <f>VLOOKUP($X11,mintahelyek!$AN$3:$BK$23,_xlfn.XMATCH(AN$3,mintahelyek!$AN$2:$BK$2,0),FALSE)</f>
        <v>-</v>
      </c>
      <c r="AO11" s="396" t="str">
        <f>VLOOKUP($X11,mintahelyek!$AN$3:$BK$23,_xlfn.XMATCH(AO$3,mintahelyek!$AN$2:$BK$2,0),FALSE)</f>
        <v>-</v>
      </c>
      <c r="AP11" s="396" t="str">
        <f>VLOOKUP($X11,mintahelyek!$AN$3:$BK$23,_xlfn.XMATCH(AP$3,mintahelyek!$AN$2:$BK$2,0),FALSE)</f>
        <v>-</v>
      </c>
      <c r="AQ11" s="396" t="str">
        <f>VLOOKUP($X11,mintahelyek!$AN$3:$BK$23,_xlfn.XMATCH(AQ$3,mintahelyek!$AN$2:$BK$2,0),FALSE)</f>
        <v>-</v>
      </c>
      <c r="AR11" s="396" t="str">
        <f>VLOOKUP($X11,mintahelyek!$AN$3:$BK$23,_xlfn.XMATCH(AR$3,mintahelyek!$AN$2:$BK$2,0),FALSE)</f>
        <v>-</v>
      </c>
      <c r="AS11" s="396" t="str">
        <f>VLOOKUP($X11,mintahelyek!$AN$3:$BK$23,_xlfn.XMATCH(AS$3,mintahelyek!$AN$2:$BK$2,0),FALSE)</f>
        <v>-</v>
      </c>
      <c r="AT11" s="397" t="str">
        <f>VLOOKUP($X11,mintahelyek!$AN$3:$BK$23,_xlfn.XMATCH(AT$3,mintahelyek!$AN$2:$BK$2,0),FALSE)</f>
        <v>-</v>
      </c>
      <c r="AU11" s="400">
        <f t="shared" si="2"/>
        <v>45324</v>
      </c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G11" s="1" t="str">
        <f t="shared" si="3"/>
        <v>7/IV</v>
      </c>
      <c r="BH11" s="69">
        <f t="shared" si="4"/>
        <v>45298</v>
      </c>
      <c r="BI11" s="70">
        <f t="shared" si="5"/>
        <v>2024</v>
      </c>
      <c r="BJ11" s="70">
        <f t="shared" si="11"/>
        <v>1</v>
      </c>
      <c r="BK11" s="70" t="str">
        <f t="shared" si="6"/>
        <v>IV</v>
      </c>
      <c r="BL11" s="71" t="str">
        <f t="shared" si="7"/>
        <v>8270 Owijzsgzrpr Rkohqy</v>
      </c>
      <c r="BM11" s="72" t="str">
        <f>'NH4'!U15</f>
        <v>0,06</v>
      </c>
      <c r="BN11" s="72" t="str">
        <f>'NO3'!U15</f>
        <v>1,74</v>
      </c>
      <c r="BO11" s="72" t="str">
        <f>'NO2'!U15</f>
        <v>0,06</v>
      </c>
      <c r="BP11" s="73" t="str">
        <f>Fe!U15</f>
        <v>0,08</v>
      </c>
      <c r="BQ11" s="73" t="str">
        <f>Mn!U15</f>
        <v>0,09</v>
      </c>
      <c r="BR11" s="72" t="str">
        <f>Cl!T15</f>
        <v>16,0</v>
      </c>
      <c r="BS11" s="72" t="str">
        <f>KOIps!T15</f>
        <v>0,70</v>
      </c>
      <c r="BT11" s="72" t="str">
        <f>ÖK!Q15</f>
        <v>132</v>
      </c>
      <c r="BU11" s="62" t="str">
        <f>ÖK!S15</f>
        <v>47,2</v>
      </c>
      <c r="BV11" s="73" t="str">
        <f>ÖK!T15</f>
        <v>28,6</v>
      </c>
      <c r="BW11" s="72" t="str">
        <f>Lúgosság!T15</f>
        <v>3,60</v>
      </c>
      <c r="BX11" s="62" t="str">
        <f>IF('pH,EC'!O15="-",'pH,EC'!O44,'pH,EC'!O15)</f>
        <v>7,14</v>
      </c>
      <c r="BY11" s="62" t="str">
        <f>IF('pH,EC'!P15="-",'pH,EC'!P44,'pH,EC'!P15)</f>
        <v>430</v>
      </c>
      <c r="BZ11" s="62" t="str">
        <f>IF('pH,EC'!Q15="-",'pH,EC'!Q44,'pH,EC'!Q15)</f>
        <v>10,6</v>
      </c>
      <c r="CA11" s="62" t="str">
        <f>'SO4'!R15</f>
        <v>58</v>
      </c>
      <c r="CB11" s="74" t="str">
        <f>IF('pH,EC'!R15="-",'pH,EC'!R44,'pH,EC'!R15)</f>
        <v>0,22</v>
      </c>
      <c r="CC11" s="74" t="str">
        <f>TEMP!B13</f>
        <v>szintelen</v>
      </c>
      <c r="CD11" s="74" t="str">
        <f>TEMP!C13</f>
        <v>szagtalan</v>
      </c>
      <c r="CE11" s="74" t="str">
        <f>TEMP!D13</f>
        <v>iztelen</v>
      </c>
      <c r="CF11" s="62" t="str">
        <f>Lúgosság!U15</f>
        <v>220</v>
      </c>
      <c r="CJ11" s="90" t="str">
        <f t="shared" ref="CJ11:CJ26" si="12">IF(ISBLANK(D5),"",D5)</f>
        <v>1/IV</v>
      </c>
      <c r="CK11" s="91">
        <f t="shared" ref="CK11:CK26" si="13">IF(ISBLANK(E5),"",E5)</f>
        <v>45292</v>
      </c>
      <c r="CL11" s="92" t="str">
        <f t="shared" ref="CL11:CL26" si="14">IF(ISBLANK(F5),"",F5)</f>
        <v>8351 Nhmzzmsdqh Nhhlz</v>
      </c>
      <c r="CM11" s="93" t="str">
        <f t="shared" ref="CM11:CM26" si="15">BM5</f>
        <v>&lt;0,04</v>
      </c>
      <c r="CN11" s="93" t="str">
        <f t="shared" ref="CN11:CN26" si="16">BN5</f>
        <v>&lt;1,00</v>
      </c>
      <c r="CO11" s="93" t="str">
        <f t="shared" ref="CO11:CO26" si="17">BO5</f>
        <v>&lt;0,02</v>
      </c>
      <c r="CP11" s="93" t="str">
        <f t="shared" ref="CP11:CP26" si="18">BP5</f>
        <v>&lt;0,03</v>
      </c>
      <c r="CQ11" s="93" t="str">
        <f t="shared" ref="CQ11:CQ26" si="19">BQ5</f>
        <v>&lt;0,03</v>
      </c>
      <c r="CR11" s="93" t="str">
        <f t="shared" ref="CR11:CR26" si="20">BR5</f>
        <v>10,0</v>
      </c>
      <c r="CS11" s="94" t="str">
        <f t="shared" ref="CS11:CS26" si="21">BS5</f>
        <v>&lt;0,30</v>
      </c>
      <c r="CT11" s="93" t="str">
        <f t="shared" ref="CT11:CT26" si="22">BT5</f>
        <v>120</v>
      </c>
      <c r="CU11" s="93" t="str">
        <f t="shared" ref="CU11:CU26" si="23">BU5</f>
        <v>42,9</v>
      </c>
      <c r="CV11" s="93" t="str">
        <f t="shared" ref="CV11:CV26" si="24">BV5</f>
        <v>26,0</v>
      </c>
      <c r="CW11" s="95" t="str">
        <f t="shared" ref="CW11:CW26" si="25">BW5</f>
        <v>3,00</v>
      </c>
      <c r="CX11" s="95" t="str">
        <f t="shared" ref="CX11:CX26" si="26">CF5</f>
        <v>183</v>
      </c>
      <c r="CY11" s="95" t="str">
        <f t="shared" ref="CY11:CY26" si="27">BX5</f>
        <v>7,02</v>
      </c>
      <c r="CZ11" s="95" t="str">
        <f t="shared" ref="CZ11:CZ26" si="28">BY5</f>
        <v>400</v>
      </c>
      <c r="DA11" s="95" t="str">
        <f t="shared" ref="DA11:DA26" si="29">BZ5</f>
        <v>10,0</v>
      </c>
      <c r="DB11" s="96" t="str">
        <f t="shared" ref="DB11:DB26" si="30">CA5</f>
        <v>8</v>
      </c>
      <c r="DC11" s="97" t="str">
        <f t="shared" ref="DC11:DC26" si="31">CB5</f>
        <v>0,10</v>
      </c>
      <c r="DF11" s="75" t="str">
        <f t="shared" si="8"/>
        <v>IV</v>
      </c>
      <c r="DG11" s="76">
        <f t="shared" si="9"/>
        <v>2024</v>
      </c>
      <c r="DH11" s="77" t="str">
        <f>'NO2'!M9</f>
        <v>-</v>
      </c>
      <c r="DI11" s="76" t="s">
        <v>79</v>
      </c>
      <c r="DJ11" s="76" t="s">
        <v>62</v>
      </c>
      <c r="DK11" s="76" t="str">
        <f>'NO2'!A23</f>
        <v>QC1 (0,04)</v>
      </c>
      <c r="DL11" s="386">
        <v>0.1</v>
      </c>
      <c r="DM11" s="76">
        <f>'NO2'!G23</f>
        <v>0.15777700000000003</v>
      </c>
      <c r="DN11" s="76">
        <f>'NO2'!H23</f>
        <v>394.4</v>
      </c>
      <c r="DO11" s="78" t="s">
        <v>44</v>
      </c>
      <c r="DQ11" s="60" t="s">
        <v>129</v>
      </c>
      <c r="DR11" s="60" t="s">
        <v>59</v>
      </c>
      <c r="DS11" s="62" t="s">
        <v>60</v>
      </c>
      <c r="DT11" s="62" t="s">
        <v>60</v>
      </c>
      <c r="DU11" s="61" t="s">
        <v>44</v>
      </c>
      <c r="DV11" s="62">
        <v>1</v>
      </c>
      <c r="DW11" s="98" t="s">
        <v>44</v>
      </c>
      <c r="DX11" s="98" t="s">
        <v>44</v>
      </c>
      <c r="DY11" s="98" t="s">
        <v>44</v>
      </c>
      <c r="DZ11" s="98" t="s">
        <v>44</v>
      </c>
      <c r="EA11" s="98" t="s">
        <v>44</v>
      </c>
      <c r="EB11" s="98" t="s">
        <v>44</v>
      </c>
      <c r="EG11" s="63" t="s">
        <v>39</v>
      </c>
      <c r="EH11" s="64" t="str">
        <f>'pH,EC'!M9</f>
        <v>-</v>
      </c>
      <c r="EI11" s="56"/>
      <c r="EJ11" s="56"/>
      <c r="EK11" s="56"/>
      <c r="EL11" s="56"/>
      <c r="EM11" s="56"/>
      <c r="EN11" s="56"/>
      <c r="EO11" s="56"/>
      <c r="EP11" s="56"/>
    </row>
    <row r="12" spans="1:146" ht="19.5" customHeight="1" x14ac:dyDescent="0.5">
      <c r="A12" s="2" t="s">
        <v>989</v>
      </c>
      <c r="B12" s="2">
        <v>8</v>
      </c>
      <c r="C12" s="37" t="str">
        <f>IFERROR(VLOOKUP($A12,mintahelyek!$Y$4:$AJ$98,12,FALSE),"-")</f>
        <v>IV</v>
      </c>
      <c r="D12" s="65" t="str">
        <f t="shared" si="0"/>
        <v>8/IV</v>
      </c>
      <c r="E12" s="36">
        <f t="shared" si="10"/>
        <v>45299</v>
      </c>
      <c r="F12" s="37" t="str">
        <f>IFERROR(VLOOKUP($A12,mintahelyek!$Y$4:$AJ$98,2,FALSE),"-")</f>
        <v>2991 Jjdjhsp Vxhhmc</v>
      </c>
      <c r="G12" s="31" t="str">
        <f>IFERROR(VLOOKUP($A12,mintahelyek!$Y$4:$AJ$98,3,FALSE),"-")</f>
        <v>bNSCFQ</v>
      </c>
      <c r="H12" s="37" t="str">
        <f>IFERROR(VLOOKUP($A12,mintahelyek!$Y$4:$AJ$98,4,FALSE),"-")</f>
        <v>Vxhhmc</v>
      </c>
      <c r="I12" s="37" t="str">
        <f>IFERROR(VLOOKUP($A12,mintahelyek!$Y$4:$AJ$98,5,FALSE),"-")</f>
        <v>KUT</v>
      </c>
      <c r="J12" s="66">
        <f>IFERROR(VLOOKUP($A12,mintahelyek!$Y$4:$AJ$98,6,FALSE),"-")</f>
        <v>20511827</v>
      </c>
      <c r="K12" s="1" t="str">
        <f>IFERROR(VLOOKUP(J12,mintahelyek!$C$3:$D$4,2,FALSE),"-")</f>
        <v>AQUA Szolgáltató Korlátolt Felelősségű Társaság</v>
      </c>
      <c r="L12" s="66" t="str">
        <f>IFERROR(VLOOKUP($A12,mintahelyek!$Y$4:$AJ$98,7,FALSE),"-")</f>
        <v>U</v>
      </c>
      <c r="M12" s="37">
        <f>IFERROR(VLOOKUP($A12,mintahelyek!$Y$4:$AJ$98,8,FALSE),"-")</f>
        <v>21889495</v>
      </c>
      <c r="N12" s="1" t="str">
        <f>IFERROR(VLOOKUP(M12,mintahelyek!$H$3:$J$7,2,FALSE),"-")</f>
        <v>NAH-1-1650/2019</v>
      </c>
      <c r="O12" s="67" t="str">
        <f>IFERROR(VLOOKUP(M12,mintahelyek!$H$3:$J$7,3,FALSE),"-")</f>
        <v>Aqua Szolgáltató Kft. Vizsgáló-laboratórium</v>
      </c>
      <c r="P12" s="19" t="str">
        <f>IFERROR(VLOOKUP($A12,mintahelyek!$Y$4:$AJ$98,9,FALSE),"-")</f>
        <v>TERV</v>
      </c>
      <c r="Q12" s="19" t="str">
        <f>IFERROR(VLOOKUP($A12,mintahelyek!$Y$4:$AJ$98,10,FALSE),"-")</f>
        <v>-</v>
      </c>
      <c r="R12" s="67">
        <f>IFERROR(VLOOKUP($A12,mintahelyek!$Y$4:$AJ$98,11,FALSE),"-")</f>
        <v>7708361598</v>
      </c>
      <c r="S12" s="17" t="s">
        <v>315</v>
      </c>
      <c r="T12" s="38">
        <v>20479120</v>
      </c>
      <c r="U12" s="67" t="str">
        <f>IFERROR(VLOOKUP(T12,mintahelyek!$T$3:$V$9,2,FALSE),"-")</f>
        <v>NAH-1-1398/2024</v>
      </c>
      <c r="V12" s="67" t="str">
        <f>IFERROR(VLOOKUP(T12,mintahelyek!$T$3:$V$9,3,FALSE),"-")</f>
        <v>Eurofins Analytical Services Hungary Kft. Környezetanalitikai Laboratórium</v>
      </c>
      <c r="W12" s="68" t="str">
        <f t="shared" si="1"/>
        <v>8/IV-Vxhhmc</v>
      </c>
      <c r="X12" s="17" t="s">
        <v>44</v>
      </c>
      <c r="Y12" s="396" t="str">
        <f>VLOOKUP($X12,mintahelyek!$AN$3:$BK$23,_xlfn.XMATCH(Y$3,mintahelyek!$AN$2:$BK$2,0),FALSE)</f>
        <v>-</v>
      </c>
      <c r="Z12" s="396" t="str">
        <f>VLOOKUP($X12,mintahelyek!$AN$3:$BK$23,_xlfn.XMATCH(Z$3,mintahelyek!$AN$2:$BK$2,0),FALSE)</f>
        <v>-</v>
      </c>
      <c r="AA12" s="396" t="str">
        <f>VLOOKUP($X12,mintahelyek!$AN$3:$BK$23,_xlfn.XMATCH(AA$3,mintahelyek!$AN$2:$BK$2,0),FALSE)</f>
        <v>-</v>
      </c>
      <c r="AB12" s="396" t="str">
        <f>VLOOKUP($X12,mintahelyek!$AN$3:$BK$23,_xlfn.XMATCH(AB$3,mintahelyek!$AN$2:$BK$2,0),FALSE)</f>
        <v>-</v>
      </c>
      <c r="AC12" s="396" t="str">
        <f>VLOOKUP($X12,mintahelyek!$AN$3:$BK$23,_xlfn.XMATCH(AC$3,mintahelyek!$AN$2:$BK$2,0),FALSE)</f>
        <v>-</v>
      </c>
      <c r="AD12" s="396" t="str">
        <f>VLOOKUP($X12,mintahelyek!$AN$3:$BK$23,_xlfn.XMATCH(AD$3,mintahelyek!$AN$2:$BK$2,0),FALSE)</f>
        <v>-</v>
      </c>
      <c r="AE12" s="396" t="str">
        <f>VLOOKUP($X12,mintahelyek!$AN$3:$BK$23,_xlfn.XMATCH(AE$3,mintahelyek!$AN$2:$BK$2,0),FALSE)</f>
        <v>-</v>
      </c>
      <c r="AF12" s="396" t="str">
        <f>VLOOKUP($X12,mintahelyek!$AN$3:$BK$23,_xlfn.XMATCH(AF$3,mintahelyek!$AN$2:$BK$2,0),FALSE)</f>
        <v>-</v>
      </c>
      <c r="AG12" s="396" t="str">
        <f>VLOOKUP($X12,mintahelyek!$AN$3:$BK$23,_xlfn.XMATCH(AG$3,mintahelyek!$AN$2:$BK$2,0),FALSE)</f>
        <v>-</v>
      </c>
      <c r="AH12" s="396" t="str">
        <f>VLOOKUP($X12,mintahelyek!$AN$3:$BK$23,_xlfn.XMATCH(AH$3,mintahelyek!$AN$2:$BK$2,0),FALSE)</f>
        <v>-</v>
      </c>
      <c r="AI12" s="396" t="str">
        <f>VLOOKUP($X12,mintahelyek!$AN$3:$BK$23,_xlfn.XMATCH(AI$3,mintahelyek!$AN$2:$BK$2,0),FALSE)</f>
        <v>-</v>
      </c>
      <c r="AJ12" s="396" t="str">
        <f>VLOOKUP($X12,mintahelyek!$AN$3:$BK$23,_xlfn.XMATCH(AJ$3,mintahelyek!$AN$2:$BK$2,0),FALSE)</f>
        <v>-</v>
      </c>
      <c r="AK12" s="396" t="str">
        <f>VLOOKUP($X12,mintahelyek!$AN$3:$BK$23,_xlfn.XMATCH(AK$3,mintahelyek!$AN$2:$BK$2,0),FALSE)</f>
        <v>-</v>
      </c>
      <c r="AL12" s="396" t="str">
        <f>VLOOKUP($X12,mintahelyek!$AN$3:$BK$23,_xlfn.XMATCH(AL$3,mintahelyek!$AN$2:$BK$2,0),FALSE)</f>
        <v>-</v>
      </c>
      <c r="AM12" s="396" t="str">
        <f>VLOOKUP($X12,mintahelyek!$AN$3:$BK$23,_xlfn.XMATCH(AM$3,mintahelyek!$AN$2:$BK$2,0),FALSE)</f>
        <v>-</v>
      </c>
      <c r="AN12" s="396" t="str">
        <f>VLOOKUP($X12,mintahelyek!$AN$3:$BK$23,_xlfn.XMATCH(AN$3,mintahelyek!$AN$2:$BK$2,0),FALSE)</f>
        <v>-</v>
      </c>
      <c r="AO12" s="396" t="str">
        <f>VLOOKUP($X12,mintahelyek!$AN$3:$BK$23,_xlfn.XMATCH(AO$3,mintahelyek!$AN$2:$BK$2,0),FALSE)</f>
        <v>-</v>
      </c>
      <c r="AP12" s="396" t="str">
        <f>VLOOKUP($X12,mintahelyek!$AN$3:$BK$23,_xlfn.XMATCH(AP$3,mintahelyek!$AN$2:$BK$2,0),FALSE)</f>
        <v>-</v>
      </c>
      <c r="AQ12" s="396" t="str">
        <f>VLOOKUP($X12,mintahelyek!$AN$3:$BK$23,_xlfn.XMATCH(AQ$3,mintahelyek!$AN$2:$BK$2,0),FALSE)</f>
        <v>-</v>
      </c>
      <c r="AR12" s="396" t="str">
        <f>VLOOKUP($X12,mintahelyek!$AN$3:$BK$23,_xlfn.XMATCH(AR$3,mintahelyek!$AN$2:$BK$2,0),FALSE)</f>
        <v>-</v>
      </c>
      <c r="AS12" s="396" t="str">
        <f>VLOOKUP($X12,mintahelyek!$AN$3:$BK$23,_xlfn.XMATCH(AS$3,mintahelyek!$AN$2:$BK$2,0),FALSE)</f>
        <v>-</v>
      </c>
      <c r="AT12" s="397" t="str">
        <f>VLOOKUP($X12,mintahelyek!$AN$3:$BK$23,_xlfn.XMATCH(AT$3,mintahelyek!$AN$2:$BK$2,0),FALSE)</f>
        <v>-</v>
      </c>
      <c r="AU12" s="400">
        <f t="shared" si="2"/>
        <v>45324</v>
      </c>
      <c r="AV12" s="51"/>
      <c r="AW12" s="51"/>
      <c r="AX12" s="51"/>
      <c r="AY12" s="51"/>
      <c r="AZ12" s="51"/>
      <c r="BA12" s="51"/>
      <c r="BB12" s="51"/>
      <c r="BC12" s="51"/>
      <c r="BD12" s="51"/>
      <c r="BE12" s="51"/>
      <c r="BG12" s="1" t="str">
        <f t="shared" si="3"/>
        <v>8/IV</v>
      </c>
      <c r="BH12" s="69">
        <f t="shared" si="4"/>
        <v>45299</v>
      </c>
      <c r="BI12" s="70">
        <f t="shared" si="5"/>
        <v>2024</v>
      </c>
      <c r="BJ12" s="70">
        <f t="shared" si="11"/>
        <v>1</v>
      </c>
      <c r="BK12" s="70" t="str">
        <f t="shared" si="6"/>
        <v>IV</v>
      </c>
      <c r="BL12" s="71" t="str">
        <f t="shared" si="7"/>
        <v>2991 Jjdjhsp Vxhhmc</v>
      </c>
      <c r="BM12" s="72" t="str">
        <f>'NH4'!U16</f>
        <v>0,06</v>
      </c>
      <c r="BN12" s="72" t="str">
        <f>'NO3'!U16</f>
        <v>1,99</v>
      </c>
      <c r="BO12" s="72" t="str">
        <f>'NO2'!U16</f>
        <v>0,07</v>
      </c>
      <c r="BP12" s="73" t="str">
        <f>Fe!U16</f>
        <v>0,10</v>
      </c>
      <c r="BQ12" s="73" t="str">
        <f>Mn!U16</f>
        <v>0,11</v>
      </c>
      <c r="BR12" s="72" t="str">
        <f>Cl!T16</f>
        <v>17,0</v>
      </c>
      <c r="BS12" s="72" t="str">
        <f>KOIps!T16</f>
        <v>0,80</v>
      </c>
      <c r="BT12" s="72" t="str">
        <f>ÖK!Q16</f>
        <v>134</v>
      </c>
      <c r="BU12" s="62" t="str">
        <f>ÖK!S16</f>
        <v>47,9</v>
      </c>
      <c r="BV12" s="73" t="str">
        <f>ÖK!T16</f>
        <v>29,0</v>
      </c>
      <c r="BW12" s="72" t="str">
        <f>Lúgosság!T16</f>
        <v>3,70</v>
      </c>
      <c r="BX12" s="62" t="str">
        <f>IF('pH,EC'!O16="-",'pH,EC'!O45,'pH,EC'!O16)</f>
        <v>7,16</v>
      </c>
      <c r="BY12" s="62" t="str">
        <f>IF('pH,EC'!P16="-",'pH,EC'!P45,'pH,EC'!P16)</f>
        <v>435</v>
      </c>
      <c r="BZ12" s="62" t="str">
        <f>IF('pH,EC'!Q16="-",'pH,EC'!Q45,'pH,EC'!Q16)</f>
        <v>10,7</v>
      </c>
      <c r="CA12" s="62" t="str">
        <f>'SO4'!R16</f>
        <v>66</v>
      </c>
      <c r="CB12" s="74" t="str">
        <f>IF('pH,EC'!R16="-",'pH,EC'!R45,'pH,EC'!R16)</f>
        <v>0,24</v>
      </c>
      <c r="CC12" s="74" t="str">
        <f>TEMP!B14</f>
        <v>szintelen</v>
      </c>
      <c r="CD12" s="74" t="str">
        <f>TEMP!C14</f>
        <v>szagtalan</v>
      </c>
      <c r="CE12" s="74" t="str">
        <f>TEMP!D14</f>
        <v>iztelen</v>
      </c>
      <c r="CF12" s="62" t="str">
        <f>Lúgosság!U16</f>
        <v>226</v>
      </c>
      <c r="CJ12" s="99" t="str">
        <f t="shared" si="12"/>
        <v>2/IV</v>
      </c>
      <c r="CK12" s="100">
        <f t="shared" si="13"/>
        <v>45293</v>
      </c>
      <c r="CL12" s="101" t="str">
        <f t="shared" si="14"/>
        <v>ADATOT BEÍRNI</v>
      </c>
      <c r="CM12" s="102" t="str">
        <f t="shared" si="15"/>
        <v>&lt;0,04</v>
      </c>
      <c r="CN12" s="102" t="str">
        <f t="shared" si="16"/>
        <v>&lt;1,00</v>
      </c>
      <c r="CO12" s="102" t="str">
        <f t="shared" si="17"/>
        <v>&lt;0,02</v>
      </c>
      <c r="CP12" s="102" t="str">
        <f t="shared" si="18"/>
        <v>&lt;0,03</v>
      </c>
      <c r="CQ12" s="102" t="str">
        <f t="shared" si="19"/>
        <v>&lt;0,03</v>
      </c>
      <c r="CR12" s="102" t="str">
        <f t="shared" si="20"/>
        <v>11,0</v>
      </c>
      <c r="CS12" s="103" t="str">
        <f t="shared" si="21"/>
        <v>&lt;0,30</v>
      </c>
      <c r="CT12" s="102" t="str">
        <f t="shared" si="22"/>
        <v>122</v>
      </c>
      <c r="CU12" s="102" t="str">
        <f t="shared" si="23"/>
        <v>43,6</v>
      </c>
      <c r="CV12" s="102" t="str">
        <f t="shared" si="24"/>
        <v>26,4</v>
      </c>
      <c r="CW12" s="104" t="str">
        <f t="shared" si="25"/>
        <v>3,10</v>
      </c>
      <c r="CX12" s="104" t="str">
        <f t="shared" si="26"/>
        <v>189</v>
      </c>
      <c r="CY12" s="104" t="str">
        <f t="shared" si="27"/>
        <v>7,04</v>
      </c>
      <c r="CZ12" s="104" t="str">
        <f t="shared" si="28"/>
        <v>405</v>
      </c>
      <c r="DA12" s="104" t="str">
        <f t="shared" si="29"/>
        <v>10,1</v>
      </c>
      <c r="DB12" s="105" t="str">
        <f t="shared" si="30"/>
        <v>16</v>
      </c>
      <c r="DC12" s="106" t="str">
        <f t="shared" si="31"/>
        <v>0,12</v>
      </c>
      <c r="DF12" s="79" t="str">
        <f t="shared" si="8"/>
        <v>IV</v>
      </c>
      <c r="DG12" s="71">
        <f t="shared" si="9"/>
        <v>2024</v>
      </c>
      <c r="DH12" s="80" t="str">
        <f>'NO2'!M9</f>
        <v>-</v>
      </c>
      <c r="DI12" s="71" t="s">
        <v>79</v>
      </c>
      <c r="DJ12" s="71" t="s">
        <v>62</v>
      </c>
      <c r="DK12" s="71" t="str">
        <f>'NO2'!A24</f>
        <v>QC2 (0,5)</v>
      </c>
      <c r="DL12" s="387">
        <v>1</v>
      </c>
      <c r="DM12" s="71">
        <f>'NO2'!G24</f>
        <v>0.16705800000000004</v>
      </c>
      <c r="DN12" s="71">
        <f>'NO2'!H24</f>
        <v>33.4</v>
      </c>
      <c r="DO12" s="81" t="s">
        <v>44</v>
      </c>
      <c r="DQ12" s="60" t="s">
        <v>129</v>
      </c>
      <c r="DR12" s="60" t="s">
        <v>152</v>
      </c>
      <c r="DS12" s="62" t="s">
        <v>60</v>
      </c>
      <c r="DT12" s="62" t="s">
        <v>60</v>
      </c>
      <c r="DU12" s="107" t="s">
        <v>153</v>
      </c>
      <c r="DV12" s="62" t="s">
        <v>56</v>
      </c>
      <c r="DW12" s="98" t="s">
        <v>44</v>
      </c>
      <c r="DX12" s="98" t="s">
        <v>44</v>
      </c>
      <c r="DY12" s="98" t="s">
        <v>44</v>
      </c>
      <c r="DZ12" s="98" t="s">
        <v>44</v>
      </c>
      <c r="EA12" s="98" t="s">
        <v>44</v>
      </c>
      <c r="EB12" s="98" t="s">
        <v>44</v>
      </c>
      <c r="EG12" s="63" t="s">
        <v>39</v>
      </c>
      <c r="EH12" s="64" t="str">
        <f>'pH,EC'!M38</f>
        <v>-</v>
      </c>
      <c r="EI12" s="56"/>
      <c r="EJ12" s="56"/>
      <c r="EK12" s="56"/>
      <c r="EL12" s="56"/>
      <c r="EM12" s="56"/>
      <c r="EN12" s="56"/>
      <c r="EO12" s="56"/>
      <c r="EP12" s="56"/>
    </row>
    <row r="13" spans="1:146" ht="19.5" customHeight="1" thickBot="1" x14ac:dyDescent="0.55000000000000004">
      <c r="A13" s="2" t="s">
        <v>990</v>
      </c>
      <c r="B13" s="206">
        <v>9</v>
      </c>
      <c r="C13" s="37" t="str">
        <f>IFERROR(VLOOKUP($A13,mintahelyek!$Y$4:$AJ$98,12,FALSE),"-")</f>
        <v>IV</v>
      </c>
      <c r="D13" s="65" t="str">
        <f t="shared" si="0"/>
        <v>9/IV</v>
      </c>
      <c r="E13" s="36">
        <f t="shared" si="10"/>
        <v>45300</v>
      </c>
      <c r="F13" s="37" t="str">
        <f>IFERROR(VLOOKUP($A13,mintahelyek!$Y$4:$AJ$98,2,FALSE),"-")</f>
        <v>8018 Mankscvx Msdxtl</v>
      </c>
      <c r="G13" s="31" t="str">
        <f>IFERROR(VLOOKUP($A13,mintahelyek!$Y$4:$AJ$98,3,FALSE),"-")</f>
        <v>bNSCFQ</v>
      </c>
      <c r="H13" s="37" t="str">
        <f>IFERROR(VLOOKUP($A13,mintahelyek!$Y$4:$AJ$98,4,FALSE),"-")</f>
        <v>Msdxtl</v>
      </c>
      <c r="I13" s="37" t="str">
        <f>IFERROR(VLOOKUP($A13,mintahelyek!$Y$4:$AJ$98,5,FALSE),"-")</f>
        <v>KUT</v>
      </c>
      <c r="J13" s="66">
        <f>IFERROR(VLOOKUP($A13,mintahelyek!$Y$4:$AJ$98,6,FALSE),"-")</f>
        <v>20511827</v>
      </c>
      <c r="K13" s="1" t="str">
        <f>IFERROR(VLOOKUP(J13,mintahelyek!$C$3:$D$4,2,FALSE),"-")</f>
        <v>AQUA Szolgáltató Korlátolt Felelősségű Társaság</v>
      </c>
      <c r="L13" s="66" t="str">
        <f>IFERROR(VLOOKUP($A13,mintahelyek!$Y$4:$AJ$98,7,FALSE),"-")</f>
        <v>U</v>
      </c>
      <c r="M13" s="37">
        <f>IFERROR(VLOOKUP($A13,mintahelyek!$Y$4:$AJ$98,8,FALSE),"-")</f>
        <v>21889495</v>
      </c>
      <c r="N13" s="1" t="str">
        <f>IFERROR(VLOOKUP(M13,mintahelyek!$H$3:$J$7,2,FALSE),"-")</f>
        <v>NAH-1-1650/2019</v>
      </c>
      <c r="O13" s="67" t="str">
        <f>IFERROR(VLOOKUP(M13,mintahelyek!$H$3:$J$7,3,FALSE),"-")</f>
        <v>Aqua Szolgáltató Kft. Vizsgáló-laboratórium</v>
      </c>
      <c r="P13" s="19" t="str">
        <f>IFERROR(VLOOKUP($A13,mintahelyek!$Y$4:$AJ$98,9,FALSE),"-")</f>
        <v>TERV</v>
      </c>
      <c r="Q13" s="19" t="str">
        <f>IFERROR(VLOOKUP($A13,mintahelyek!$Y$4:$AJ$98,10,FALSE),"-")</f>
        <v>-</v>
      </c>
      <c r="R13" s="67">
        <f>IFERROR(VLOOKUP($A13,mintahelyek!$Y$4:$AJ$98,11,FALSE),"-")</f>
        <v>2952846557</v>
      </c>
      <c r="S13" s="17" t="s">
        <v>60</v>
      </c>
      <c r="T13" s="38">
        <v>21889737</v>
      </c>
      <c r="U13" s="67" t="str">
        <f>IFERROR(VLOOKUP(T13,mintahelyek!$T$3:$V$9,2,FALSE),"-")</f>
        <v>NAH-1-1341/2019</v>
      </c>
      <c r="V13" s="67" t="str">
        <f>IFERROR(VLOOKUP(T13,mintahelyek!$T$3:$V$9,3,FALSE),"-")</f>
        <v>Győr-Moson-Sopron Vármegyei Kormányhivatal Népegészségügyi Főosztály Laboratóriumi Osztály TEFONAZ Laboratórium</v>
      </c>
      <c r="W13" s="68" t="str">
        <f t="shared" si="1"/>
        <v>9/IV-Msdxtl</v>
      </c>
      <c r="X13" s="17" t="s">
        <v>44</v>
      </c>
      <c r="Y13" s="396" t="str">
        <f>VLOOKUP($X13,mintahelyek!$AN$3:$BK$23,_xlfn.XMATCH(Y$3,mintahelyek!$AN$2:$BK$2,0),FALSE)</f>
        <v>-</v>
      </c>
      <c r="Z13" s="396" t="str">
        <f>VLOOKUP($X13,mintahelyek!$AN$3:$BK$23,_xlfn.XMATCH(Z$3,mintahelyek!$AN$2:$BK$2,0),FALSE)</f>
        <v>-</v>
      </c>
      <c r="AA13" s="396" t="str">
        <f>VLOOKUP($X13,mintahelyek!$AN$3:$BK$23,_xlfn.XMATCH(AA$3,mintahelyek!$AN$2:$BK$2,0),FALSE)</f>
        <v>-</v>
      </c>
      <c r="AB13" s="396" t="str">
        <f>VLOOKUP($X13,mintahelyek!$AN$3:$BK$23,_xlfn.XMATCH(AB$3,mintahelyek!$AN$2:$BK$2,0),FALSE)</f>
        <v>-</v>
      </c>
      <c r="AC13" s="396" t="str">
        <f>VLOOKUP($X13,mintahelyek!$AN$3:$BK$23,_xlfn.XMATCH(AC$3,mintahelyek!$AN$2:$BK$2,0),FALSE)</f>
        <v>-</v>
      </c>
      <c r="AD13" s="396" t="str">
        <f>VLOOKUP($X13,mintahelyek!$AN$3:$BK$23,_xlfn.XMATCH(AD$3,mintahelyek!$AN$2:$BK$2,0),FALSE)</f>
        <v>-</v>
      </c>
      <c r="AE13" s="396" t="str">
        <f>VLOOKUP($X13,mintahelyek!$AN$3:$BK$23,_xlfn.XMATCH(AE$3,mintahelyek!$AN$2:$BK$2,0),FALSE)</f>
        <v>-</v>
      </c>
      <c r="AF13" s="396" t="str">
        <f>VLOOKUP($X13,mintahelyek!$AN$3:$BK$23,_xlfn.XMATCH(AF$3,mintahelyek!$AN$2:$BK$2,0),FALSE)</f>
        <v>-</v>
      </c>
      <c r="AG13" s="396" t="str">
        <f>VLOOKUP($X13,mintahelyek!$AN$3:$BK$23,_xlfn.XMATCH(AG$3,mintahelyek!$AN$2:$BK$2,0),FALSE)</f>
        <v>-</v>
      </c>
      <c r="AH13" s="396" t="str">
        <f>VLOOKUP($X13,mintahelyek!$AN$3:$BK$23,_xlfn.XMATCH(AH$3,mintahelyek!$AN$2:$BK$2,0),FALSE)</f>
        <v>-</v>
      </c>
      <c r="AI13" s="396" t="str">
        <f>VLOOKUP($X13,mintahelyek!$AN$3:$BK$23,_xlfn.XMATCH(AI$3,mintahelyek!$AN$2:$BK$2,0),FALSE)</f>
        <v>-</v>
      </c>
      <c r="AJ13" s="396" t="str">
        <f>VLOOKUP($X13,mintahelyek!$AN$3:$BK$23,_xlfn.XMATCH(AJ$3,mintahelyek!$AN$2:$BK$2,0),FALSE)</f>
        <v>-</v>
      </c>
      <c r="AK13" s="396" t="str">
        <f>VLOOKUP($X13,mintahelyek!$AN$3:$BK$23,_xlfn.XMATCH(AK$3,mintahelyek!$AN$2:$BK$2,0),FALSE)</f>
        <v>-</v>
      </c>
      <c r="AL13" s="396" t="str">
        <f>VLOOKUP($X13,mintahelyek!$AN$3:$BK$23,_xlfn.XMATCH(AL$3,mintahelyek!$AN$2:$BK$2,0),FALSE)</f>
        <v>-</v>
      </c>
      <c r="AM13" s="396" t="str">
        <f>VLOOKUP($X13,mintahelyek!$AN$3:$BK$23,_xlfn.XMATCH(AM$3,mintahelyek!$AN$2:$BK$2,0),FALSE)</f>
        <v>-</v>
      </c>
      <c r="AN13" s="396" t="str">
        <f>VLOOKUP($X13,mintahelyek!$AN$3:$BK$23,_xlfn.XMATCH(AN$3,mintahelyek!$AN$2:$BK$2,0),FALSE)</f>
        <v>-</v>
      </c>
      <c r="AO13" s="396" t="str">
        <f>VLOOKUP($X13,mintahelyek!$AN$3:$BK$23,_xlfn.XMATCH(AO$3,mintahelyek!$AN$2:$BK$2,0),FALSE)</f>
        <v>-</v>
      </c>
      <c r="AP13" s="396" t="str">
        <f>VLOOKUP($X13,mintahelyek!$AN$3:$BK$23,_xlfn.XMATCH(AP$3,mintahelyek!$AN$2:$BK$2,0),FALSE)</f>
        <v>-</v>
      </c>
      <c r="AQ13" s="396" t="str">
        <f>VLOOKUP($X13,mintahelyek!$AN$3:$BK$23,_xlfn.XMATCH(AQ$3,mintahelyek!$AN$2:$BK$2,0),FALSE)</f>
        <v>-</v>
      </c>
      <c r="AR13" s="396" t="str">
        <f>VLOOKUP($X13,mintahelyek!$AN$3:$BK$23,_xlfn.XMATCH(AR$3,mintahelyek!$AN$2:$BK$2,0),FALSE)</f>
        <v>-</v>
      </c>
      <c r="AS13" s="396" t="str">
        <f>VLOOKUP($X13,mintahelyek!$AN$3:$BK$23,_xlfn.XMATCH(AS$3,mintahelyek!$AN$2:$BK$2,0),FALSE)</f>
        <v>-</v>
      </c>
      <c r="AT13" s="397" t="str">
        <f>VLOOKUP($X13,mintahelyek!$AN$3:$BK$23,_xlfn.XMATCH(AT$3,mintahelyek!$AN$2:$BK$2,0),FALSE)</f>
        <v>-</v>
      </c>
      <c r="AU13" s="400">
        <f t="shared" si="2"/>
        <v>45324</v>
      </c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G13" s="1" t="str">
        <f t="shared" si="3"/>
        <v>9/IV</v>
      </c>
      <c r="BH13" s="69">
        <f t="shared" si="4"/>
        <v>45300</v>
      </c>
      <c r="BI13" s="70">
        <f t="shared" si="5"/>
        <v>2024</v>
      </c>
      <c r="BJ13" s="70">
        <f t="shared" si="11"/>
        <v>1</v>
      </c>
      <c r="BK13" s="70" t="str">
        <f t="shared" si="6"/>
        <v>IV</v>
      </c>
      <c r="BL13" s="71" t="str">
        <f t="shared" si="7"/>
        <v>8018 Mankscvx Msdxtl</v>
      </c>
      <c r="BM13" s="72" t="str">
        <f>'NH4'!U17</f>
        <v>0,07</v>
      </c>
      <c r="BN13" s="72" t="str">
        <f>'NO3'!U17</f>
        <v>2,24</v>
      </c>
      <c r="BO13" s="72" t="str">
        <f>'NO2'!U17</f>
        <v>0,08</v>
      </c>
      <c r="BP13" s="73" t="str">
        <f>Fe!U17</f>
        <v>0,11</v>
      </c>
      <c r="BQ13" s="73" t="str">
        <f>Mn!U17</f>
        <v>0,12</v>
      </c>
      <c r="BR13" s="72" t="str">
        <f>Cl!T17</f>
        <v>18,0</v>
      </c>
      <c r="BS13" s="72" t="str">
        <f>KOIps!T17</f>
        <v>0,90</v>
      </c>
      <c r="BT13" s="72" t="str">
        <f>ÖK!Q17</f>
        <v>136</v>
      </c>
      <c r="BU13" s="62" t="str">
        <f>ÖK!S17</f>
        <v>48,6</v>
      </c>
      <c r="BV13" s="73" t="str">
        <f>ÖK!T17</f>
        <v>29,5</v>
      </c>
      <c r="BW13" s="72" t="str">
        <f>Lúgosság!T17</f>
        <v>3,80</v>
      </c>
      <c r="BX13" s="62" t="str">
        <f>IF('pH,EC'!O17="-",'pH,EC'!O46,'pH,EC'!O17)</f>
        <v>7,18</v>
      </c>
      <c r="BY13" s="62" t="str">
        <f>IF('pH,EC'!P17="-",'pH,EC'!P46,'pH,EC'!P17)</f>
        <v>440</v>
      </c>
      <c r="BZ13" s="62" t="str">
        <f>IF('pH,EC'!Q17="-",'pH,EC'!Q46,'pH,EC'!Q17)</f>
        <v>10,8</v>
      </c>
      <c r="CA13" s="62" t="str">
        <f>'SO4'!R17</f>
        <v>74</v>
      </c>
      <c r="CB13" s="74" t="str">
        <f>IF('pH,EC'!R17="-",'pH,EC'!R46,'pH,EC'!R17)</f>
        <v>0,26</v>
      </c>
      <c r="CC13" s="74" t="str">
        <f>TEMP!B15</f>
        <v>szintelen</v>
      </c>
      <c r="CD13" s="74" t="str">
        <f>TEMP!C15</f>
        <v>szagtalan</v>
      </c>
      <c r="CE13" s="74" t="str">
        <f>TEMP!D15</f>
        <v>iztelen</v>
      </c>
      <c r="CF13" s="62" t="str">
        <f>Lúgosság!U17</f>
        <v>232</v>
      </c>
      <c r="CJ13" s="99" t="str">
        <f t="shared" si="12"/>
        <v>3/KIV</v>
      </c>
      <c r="CK13" s="100">
        <f t="shared" si="13"/>
        <v>45294</v>
      </c>
      <c r="CL13" s="101" t="str">
        <f t="shared" si="14"/>
        <v>ADATOT BEÍRNI</v>
      </c>
      <c r="CM13" s="102" t="str">
        <f t="shared" si="15"/>
        <v>&lt;0,04</v>
      </c>
      <c r="CN13" s="102" t="str">
        <f t="shared" si="16"/>
        <v>&lt;1,00</v>
      </c>
      <c r="CO13" s="102" t="str">
        <f t="shared" si="17"/>
        <v>0,03</v>
      </c>
      <c r="CP13" s="102" t="str">
        <f t="shared" si="18"/>
        <v>0,04</v>
      </c>
      <c r="CQ13" s="102" t="str">
        <f t="shared" si="19"/>
        <v>0,04</v>
      </c>
      <c r="CR13" s="102" t="str">
        <f t="shared" si="20"/>
        <v>12,0</v>
      </c>
      <c r="CS13" s="103" t="str">
        <f t="shared" si="21"/>
        <v>0,30</v>
      </c>
      <c r="CT13" s="102" t="str">
        <f t="shared" si="22"/>
        <v>124</v>
      </c>
      <c r="CU13" s="102" t="str">
        <f t="shared" si="23"/>
        <v>44,3</v>
      </c>
      <c r="CV13" s="102" t="str">
        <f t="shared" si="24"/>
        <v>26,9</v>
      </c>
      <c r="CW13" s="104" t="str">
        <f t="shared" si="25"/>
        <v>3,20</v>
      </c>
      <c r="CX13" s="104" t="str">
        <f t="shared" si="26"/>
        <v>195</v>
      </c>
      <c r="CY13" s="104" t="str">
        <f t="shared" si="27"/>
        <v>7,06</v>
      </c>
      <c r="CZ13" s="104" t="str">
        <f t="shared" si="28"/>
        <v>410</v>
      </c>
      <c r="DA13" s="104" t="str">
        <f t="shared" si="29"/>
        <v>10,2</v>
      </c>
      <c r="DB13" s="105" t="str">
        <f t="shared" si="30"/>
        <v>25</v>
      </c>
      <c r="DC13" s="106" t="str">
        <f t="shared" si="31"/>
        <v>0,14</v>
      </c>
      <c r="DF13" s="83" t="str">
        <f t="shared" si="8"/>
        <v>IV</v>
      </c>
      <c r="DG13" s="84">
        <f t="shared" si="9"/>
        <v>2024</v>
      </c>
      <c r="DH13" s="85" t="str">
        <f>'NO2'!M9</f>
        <v>-</v>
      </c>
      <c r="DI13" s="84" t="s">
        <v>79</v>
      </c>
      <c r="DJ13" s="84" t="s">
        <v>81</v>
      </c>
      <c r="DK13" s="84" t="s">
        <v>80</v>
      </c>
      <c r="DL13" s="388" t="s">
        <v>44</v>
      </c>
      <c r="DM13" s="84">
        <f>'NO2'!B7</f>
        <v>0</v>
      </c>
      <c r="DN13" s="84" t="s">
        <v>44</v>
      </c>
      <c r="DO13" s="86" t="s">
        <v>44</v>
      </c>
      <c r="DQ13" s="60" t="s">
        <v>129</v>
      </c>
      <c r="DR13" s="60" t="s">
        <v>113</v>
      </c>
      <c r="DS13" s="62" t="s">
        <v>60</v>
      </c>
      <c r="DT13" s="61">
        <v>100</v>
      </c>
      <c r="DU13" s="61" t="s">
        <v>120</v>
      </c>
      <c r="DV13" s="62" t="s">
        <v>56</v>
      </c>
      <c r="DW13" s="62" t="s">
        <v>121</v>
      </c>
      <c r="DX13" s="62">
        <v>1.84</v>
      </c>
      <c r="DY13" s="98" t="s">
        <v>44</v>
      </c>
      <c r="DZ13" s="98" t="s">
        <v>44</v>
      </c>
      <c r="EA13" s="98" t="s">
        <v>44</v>
      </c>
      <c r="EB13" s="98" t="s">
        <v>44</v>
      </c>
      <c r="EG13" s="63" t="s">
        <v>113</v>
      </c>
      <c r="EH13" s="64" t="str">
        <f>KOIps!M9</f>
        <v>-</v>
      </c>
      <c r="EI13" s="56"/>
      <c r="EJ13" s="56"/>
      <c r="EK13" s="56"/>
      <c r="EL13" s="56"/>
      <c r="EM13" s="56"/>
      <c r="EN13" s="56"/>
      <c r="EO13" s="56"/>
      <c r="EP13" s="56"/>
    </row>
    <row r="14" spans="1:146" ht="19.5" customHeight="1" x14ac:dyDescent="0.5">
      <c r="A14" s="2" t="s">
        <v>991</v>
      </c>
      <c r="B14" s="2">
        <v>10</v>
      </c>
      <c r="C14" s="37" t="str">
        <f>IFERROR(VLOOKUP($A14,mintahelyek!$Y$4:$AJ$98,12,FALSE),"-")</f>
        <v>IV</v>
      </c>
      <c r="D14" s="65" t="str">
        <f t="shared" si="0"/>
        <v>10/IV</v>
      </c>
      <c r="E14" s="36">
        <f t="shared" si="10"/>
        <v>45301</v>
      </c>
      <c r="F14" s="37" t="str">
        <f>IFERROR(VLOOKUP($A14,mintahelyek!$Y$4:$AJ$98,2,FALSE),"-")</f>
        <v>7065 Hwcflmoijro Qoldnt</v>
      </c>
      <c r="G14" s="31" t="str">
        <f>IFERROR(VLOOKUP($A14,mintahelyek!$Y$4:$AJ$98,3,FALSE),"-")</f>
        <v>bNSCFQ</v>
      </c>
      <c r="H14" s="37" t="str">
        <f>IFERROR(VLOOKUP($A14,mintahelyek!$Y$4:$AJ$98,4,FALSE),"-")</f>
        <v>Qoldnt</v>
      </c>
      <c r="I14" s="37" t="str">
        <f>IFERROR(VLOOKUP($A14,mintahelyek!$Y$4:$AJ$98,5,FALSE),"-")</f>
        <v>KUT</v>
      </c>
      <c r="J14" s="66">
        <f>IFERROR(VLOOKUP($A14,mintahelyek!$Y$4:$AJ$98,6,FALSE),"-")</f>
        <v>20511827</v>
      </c>
      <c r="K14" s="1" t="str">
        <f>IFERROR(VLOOKUP(J14,mintahelyek!$C$3:$D$4,2,FALSE),"-")</f>
        <v>AQUA Szolgáltató Korlátolt Felelősségű Társaság</v>
      </c>
      <c r="L14" s="66" t="str">
        <f>IFERROR(VLOOKUP($A14,mintahelyek!$Y$4:$AJ$98,7,FALSE),"-")</f>
        <v>U</v>
      </c>
      <c r="M14" s="37">
        <f>IFERROR(VLOOKUP($A14,mintahelyek!$Y$4:$AJ$98,8,FALSE),"-")</f>
        <v>21889495</v>
      </c>
      <c r="N14" s="1" t="str">
        <f>IFERROR(VLOOKUP(M14,mintahelyek!$H$3:$J$7,2,FALSE),"-")</f>
        <v>NAH-1-1650/2019</v>
      </c>
      <c r="O14" s="67" t="str">
        <f>IFERROR(VLOOKUP(M14,mintahelyek!$H$3:$J$7,3,FALSE),"-")</f>
        <v>Aqua Szolgáltató Kft. Vizsgáló-laboratórium</v>
      </c>
      <c r="P14" s="19" t="str">
        <f>IFERROR(VLOOKUP($A14,mintahelyek!$Y$4:$AJ$98,9,FALSE),"-")</f>
        <v>TERV</v>
      </c>
      <c r="Q14" s="19" t="str">
        <f>IFERROR(VLOOKUP($A14,mintahelyek!$Y$4:$AJ$98,10,FALSE),"-")</f>
        <v>-</v>
      </c>
      <c r="R14" s="67">
        <f>IFERROR(VLOOKUP($A14,mintahelyek!$Y$4:$AJ$98,11,FALSE),"-")</f>
        <v>5141069706</v>
      </c>
      <c r="S14" s="17" t="s">
        <v>277</v>
      </c>
      <c r="T14" s="38">
        <v>21884171</v>
      </c>
      <c r="U14" s="67" t="str">
        <f>IFERROR(VLOOKUP(T14,mintahelyek!$T$3:$V$9,2,FALSE),"-")</f>
        <v>NAH-1-1226/2021</v>
      </c>
      <c r="V14" s="67" t="str">
        <f>IFERROR(VLOOKUP(T14,mintahelyek!$T$3:$V$9,3,FALSE),"-")</f>
        <v>PANNON-VÍZ Zrt. Minőségvizsgáló Laboratórium</v>
      </c>
      <c r="W14" s="68" t="str">
        <f t="shared" si="1"/>
        <v>10/IV-Qoldnt</v>
      </c>
      <c r="X14" s="17" t="s">
        <v>44</v>
      </c>
      <c r="Y14" s="396" t="str">
        <f>VLOOKUP($X14,mintahelyek!$AN$3:$BK$23,_xlfn.XMATCH(Y$3,mintahelyek!$AN$2:$BK$2,0),FALSE)</f>
        <v>-</v>
      </c>
      <c r="Z14" s="396" t="str">
        <f>VLOOKUP($X14,mintahelyek!$AN$3:$BK$23,_xlfn.XMATCH(Z$3,mintahelyek!$AN$2:$BK$2,0),FALSE)</f>
        <v>-</v>
      </c>
      <c r="AA14" s="396" t="str">
        <f>VLOOKUP($X14,mintahelyek!$AN$3:$BK$23,_xlfn.XMATCH(AA$3,mintahelyek!$AN$2:$BK$2,0),FALSE)</f>
        <v>-</v>
      </c>
      <c r="AB14" s="396" t="str">
        <f>VLOOKUP($X14,mintahelyek!$AN$3:$BK$23,_xlfn.XMATCH(AB$3,mintahelyek!$AN$2:$BK$2,0),FALSE)</f>
        <v>-</v>
      </c>
      <c r="AC14" s="396" t="str">
        <f>VLOOKUP($X14,mintahelyek!$AN$3:$BK$23,_xlfn.XMATCH(AC$3,mintahelyek!$AN$2:$BK$2,0),FALSE)</f>
        <v>-</v>
      </c>
      <c r="AD14" s="396" t="str">
        <f>VLOOKUP($X14,mintahelyek!$AN$3:$BK$23,_xlfn.XMATCH(AD$3,mintahelyek!$AN$2:$BK$2,0),FALSE)</f>
        <v>-</v>
      </c>
      <c r="AE14" s="396" t="str">
        <f>VLOOKUP($X14,mintahelyek!$AN$3:$BK$23,_xlfn.XMATCH(AE$3,mintahelyek!$AN$2:$BK$2,0),FALSE)</f>
        <v>-</v>
      </c>
      <c r="AF14" s="396" t="str">
        <f>VLOOKUP($X14,mintahelyek!$AN$3:$BK$23,_xlfn.XMATCH(AF$3,mintahelyek!$AN$2:$BK$2,0),FALSE)</f>
        <v>-</v>
      </c>
      <c r="AG14" s="396" t="str">
        <f>VLOOKUP($X14,mintahelyek!$AN$3:$BK$23,_xlfn.XMATCH(AG$3,mintahelyek!$AN$2:$BK$2,0),FALSE)</f>
        <v>-</v>
      </c>
      <c r="AH14" s="396" t="str">
        <f>VLOOKUP($X14,mintahelyek!$AN$3:$BK$23,_xlfn.XMATCH(AH$3,mintahelyek!$AN$2:$BK$2,0),FALSE)</f>
        <v>-</v>
      </c>
      <c r="AI14" s="396" t="str">
        <f>VLOOKUP($X14,mintahelyek!$AN$3:$BK$23,_xlfn.XMATCH(AI$3,mintahelyek!$AN$2:$BK$2,0),FALSE)</f>
        <v>-</v>
      </c>
      <c r="AJ14" s="396" t="str">
        <f>VLOOKUP($X14,mintahelyek!$AN$3:$BK$23,_xlfn.XMATCH(AJ$3,mintahelyek!$AN$2:$BK$2,0),FALSE)</f>
        <v>-</v>
      </c>
      <c r="AK14" s="396" t="str">
        <f>VLOOKUP($X14,mintahelyek!$AN$3:$BK$23,_xlfn.XMATCH(AK$3,mintahelyek!$AN$2:$BK$2,0),FALSE)</f>
        <v>-</v>
      </c>
      <c r="AL14" s="396" t="str">
        <f>VLOOKUP($X14,mintahelyek!$AN$3:$BK$23,_xlfn.XMATCH(AL$3,mintahelyek!$AN$2:$BK$2,0),FALSE)</f>
        <v>-</v>
      </c>
      <c r="AM14" s="396" t="str">
        <f>VLOOKUP($X14,mintahelyek!$AN$3:$BK$23,_xlfn.XMATCH(AM$3,mintahelyek!$AN$2:$BK$2,0),FALSE)</f>
        <v>-</v>
      </c>
      <c r="AN14" s="396" t="str">
        <f>VLOOKUP($X14,mintahelyek!$AN$3:$BK$23,_xlfn.XMATCH(AN$3,mintahelyek!$AN$2:$BK$2,0),FALSE)</f>
        <v>-</v>
      </c>
      <c r="AO14" s="396" t="str">
        <f>VLOOKUP($X14,mintahelyek!$AN$3:$BK$23,_xlfn.XMATCH(AO$3,mintahelyek!$AN$2:$BK$2,0),FALSE)</f>
        <v>-</v>
      </c>
      <c r="AP14" s="396" t="str">
        <f>VLOOKUP($X14,mintahelyek!$AN$3:$BK$23,_xlfn.XMATCH(AP$3,mintahelyek!$AN$2:$BK$2,0),FALSE)</f>
        <v>-</v>
      </c>
      <c r="AQ14" s="396" t="str">
        <f>VLOOKUP($X14,mintahelyek!$AN$3:$BK$23,_xlfn.XMATCH(AQ$3,mintahelyek!$AN$2:$BK$2,0),FALSE)</f>
        <v>-</v>
      </c>
      <c r="AR14" s="396" t="str">
        <f>VLOOKUP($X14,mintahelyek!$AN$3:$BK$23,_xlfn.XMATCH(AR$3,mintahelyek!$AN$2:$BK$2,0),FALSE)</f>
        <v>-</v>
      </c>
      <c r="AS14" s="396" t="str">
        <f>VLOOKUP($X14,mintahelyek!$AN$3:$BK$23,_xlfn.XMATCH(AS$3,mintahelyek!$AN$2:$BK$2,0),FALSE)</f>
        <v>-</v>
      </c>
      <c r="AT14" s="397" t="str">
        <f>VLOOKUP($X14,mintahelyek!$AN$3:$BK$23,_xlfn.XMATCH(AT$3,mintahelyek!$AN$2:$BK$2,0),FALSE)</f>
        <v>-</v>
      </c>
      <c r="AU14" s="400">
        <f t="shared" si="2"/>
        <v>45324</v>
      </c>
      <c r="AV14" s="51"/>
      <c r="AW14" s="51"/>
      <c r="AX14" s="51"/>
      <c r="AY14" s="51"/>
      <c r="AZ14" s="51"/>
      <c r="BA14" s="51"/>
      <c r="BB14" s="51"/>
      <c r="BC14" s="51"/>
      <c r="BD14" s="51"/>
      <c r="BE14" s="51"/>
      <c r="BG14" s="1" t="str">
        <f t="shared" si="3"/>
        <v>10/IV</v>
      </c>
      <c r="BH14" s="69">
        <f t="shared" si="4"/>
        <v>45301</v>
      </c>
      <c r="BI14" s="70">
        <f t="shared" si="5"/>
        <v>2024</v>
      </c>
      <c r="BJ14" s="70">
        <f t="shared" si="11"/>
        <v>1</v>
      </c>
      <c r="BK14" s="70" t="str">
        <f t="shared" si="6"/>
        <v>IV</v>
      </c>
      <c r="BL14" s="71" t="str">
        <f t="shared" si="7"/>
        <v>7065 Hwcflmoijro Qoldnt</v>
      </c>
      <c r="BM14" s="72" t="str">
        <f>'NH4'!U18</f>
        <v>0,08</v>
      </c>
      <c r="BN14" s="72" t="str">
        <f>'NO3'!U18</f>
        <v>2,49</v>
      </c>
      <c r="BO14" s="72" t="str">
        <f>'NO2'!U18</f>
        <v>0,09</v>
      </c>
      <c r="BP14" s="73" t="str">
        <f>Fe!U18</f>
        <v>0,12</v>
      </c>
      <c r="BQ14" s="73" t="str">
        <f>Mn!U18</f>
        <v>0,13</v>
      </c>
      <c r="BR14" s="72" t="str">
        <f>Cl!T18</f>
        <v>19,0</v>
      </c>
      <c r="BS14" s="72" t="str">
        <f>KOIps!T18</f>
        <v>1,00</v>
      </c>
      <c r="BT14" s="72" t="str">
        <f>ÖK!Q18</f>
        <v>138</v>
      </c>
      <c r="BU14" s="62" t="str">
        <f>ÖK!S18</f>
        <v>49,3</v>
      </c>
      <c r="BV14" s="73" t="str">
        <f>ÖK!T18</f>
        <v>29,9</v>
      </c>
      <c r="BW14" s="72" t="str">
        <f>Lúgosság!T18</f>
        <v>3,90</v>
      </c>
      <c r="BX14" s="62" t="str">
        <f>IF('pH,EC'!O18="-",'pH,EC'!O47,'pH,EC'!O18)</f>
        <v>7,20</v>
      </c>
      <c r="BY14" s="62" t="str">
        <f>IF('pH,EC'!P18="-",'pH,EC'!P47,'pH,EC'!P18)</f>
        <v>445</v>
      </c>
      <c r="BZ14" s="62" t="str">
        <f>IF('pH,EC'!Q18="-",'pH,EC'!Q47,'pH,EC'!Q18)</f>
        <v>10,9</v>
      </c>
      <c r="CA14" s="62" t="str">
        <f>'SO4'!R18</f>
        <v>82</v>
      </c>
      <c r="CB14" s="74" t="str">
        <f>IF('pH,EC'!R18="-",'pH,EC'!R47,'pH,EC'!R18)</f>
        <v>0,28</v>
      </c>
      <c r="CC14" s="74" t="str">
        <f>TEMP!B16</f>
        <v>szintelen</v>
      </c>
      <c r="CD14" s="74" t="str">
        <f>TEMP!C16</f>
        <v>szagtalan</v>
      </c>
      <c r="CE14" s="74" t="str">
        <f>TEMP!D16</f>
        <v>iztelen</v>
      </c>
      <c r="CF14" s="62" t="str">
        <f>Lúgosság!U18</f>
        <v>238</v>
      </c>
      <c r="CJ14" s="99" t="str">
        <f t="shared" si="12"/>
        <v>4/IV</v>
      </c>
      <c r="CK14" s="100">
        <f t="shared" si="13"/>
        <v>45295</v>
      </c>
      <c r="CL14" s="101" t="str">
        <f t="shared" si="14"/>
        <v>9605 Lcwvcl Ebnxscqc</v>
      </c>
      <c r="CM14" s="102" t="str">
        <f t="shared" si="15"/>
        <v>&lt;0,04</v>
      </c>
      <c r="CN14" s="102" t="str">
        <f t="shared" si="16"/>
        <v>&lt;1,00</v>
      </c>
      <c r="CO14" s="102" t="str">
        <f t="shared" si="17"/>
        <v>0,04</v>
      </c>
      <c r="CP14" s="102" t="str">
        <f t="shared" si="18"/>
        <v>0,05</v>
      </c>
      <c r="CQ14" s="102" t="str">
        <f t="shared" si="19"/>
        <v>0,05</v>
      </c>
      <c r="CR14" s="102" t="str">
        <f t="shared" si="20"/>
        <v>13,0</v>
      </c>
      <c r="CS14" s="103" t="str">
        <f t="shared" si="21"/>
        <v>0,40</v>
      </c>
      <c r="CT14" s="102" t="str">
        <f t="shared" si="22"/>
        <v>126</v>
      </c>
      <c r="CU14" s="102" t="str">
        <f t="shared" si="23"/>
        <v>45,0</v>
      </c>
      <c r="CV14" s="102" t="str">
        <f t="shared" si="24"/>
        <v>27,3</v>
      </c>
      <c r="CW14" s="104" t="str">
        <f t="shared" si="25"/>
        <v>3,30</v>
      </c>
      <c r="CX14" s="104" t="str">
        <f t="shared" si="26"/>
        <v>201</v>
      </c>
      <c r="CY14" s="104" t="str">
        <f t="shared" si="27"/>
        <v>7,08</v>
      </c>
      <c r="CZ14" s="104" t="str">
        <f t="shared" si="28"/>
        <v>415</v>
      </c>
      <c r="DA14" s="104" t="str">
        <f t="shared" si="29"/>
        <v>10,3</v>
      </c>
      <c r="DB14" s="105" t="str">
        <f t="shared" si="30"/>
        <v>33</v>
      </c>
      <c r="DC14" s="106" t="str">
        <f t="shared" si="31"/>
        <v>0,16</v>
      </c>
      <c r="DF14" s="75" t="str">
        <f t="shared" si="8"/>
        <v>IV</v>
      </c>
      <c r="DG14" s="76">
        <f t="shared" si="9"/>
        <v>2024</v>
      </c>
      <c r="DH14" s="77" t="str">
        <f>Fe!M9</f>
        <v>-</v>
      </c>
      <c r="DI14" s="76" t="s">
        <v>143</v>
      </c>
      <c r="DJ14" s="76" t="s">
        <v>62</v>
      </c>
      <c r="DK14" s="76" t="str">
        <f>Fe!A23</f>
        <v>QC1 (0,05)</v>
      </c>
      <c r="DL14" s="386">
        <v>0.05</v>
      </c>
      <c r="DM14" s="76">
        <f>Fe!G23</f>
        <v>0.20638000000000001</v>
      </c>
      <c r="DN14" s="76">
        <f>Fe!H23</f>
        <v>412.8</v>
      </c>
      <c r="DO14" s="78" t="s">
        <v>44</v>
      </c>
      <c r="DQ14" s="60" t="s">
        <v>129</v>
      </c>
      <c r="DR14" s="60" t="s">
        <v>159</v>
      </c>
      <c r="DS14" s="62" t="s">
        <v>60</v>
      </c>
      <c r="DT14" s="61" t="s">
        <v>44</v>
      </c>
      <c r="DU14" s="61" t="s">
        <v>61</v>
      </c>
      <c r="DV14" s="62" t="s">
        <v>56</v>
      </c>
      <c r="DW14" s="62" t="s">
        <v>160</v>
      </c>
      <c r="DX14" s="62">
        <v>20</v>
      </c>
      <c r="DY14" s="98" t="s">
        <v>44</v>
      </c>
      <c r="DZ14" s="98" t="s">
        <v>44</v>
      </c>
      <c r="EA14" s="98" t="s">
        <v>44</v>
      </c>
      <c r="EB14" s="98" t="s">
        <v>44</v>
      </c>
      <c r="EG14" s="63" t="s">
        <v>159</v>
      </c>
      <c r="EH14" s="64" t="str">
        <f>Cl!M9</f>
        <v>-</v>
      </c>
      <c r="EI14" s="56"/>
      <c r="EJ14" s="56"/>
      <c r="EK14" s="56"/>
      <c r="EL14" s="56"/>
      <c r="EM14" s="56"/>
      <c r="EN14" s="56"/>
      <c r="EO14" s="56"/>
      <c r="EP14" s="56"/>
    </row>
    <row r="15" spans="1:146" ht="19.5" customHeight="1" x14ac:dyDescent="0.5">
      <c r="A15" s="2" t="s">
        <v>992</v>
      </c>
      <c r="B15" s="206">
        <v>11</v>
      </c>
      <c r="C15" s="37" t="str">
        <f>IFERROR(VLOOKUP($A15,mintahelyek!$Y$4:$AJ$98,12,FALSE),"-")</f>
        <v>IV</v>
      </c>
      <c r="D15" s="65" t="str">
        <f t="shared" si="0"/>
        <v>11/IV</v>
      </c>
      <c r="E15" s="36">
        <f t="shared" si="10"/>
        <v>45302</v>
      </c>
      <c r="F15" s="37" t="str">
        <f>IFERROR(VLOOKUP($A15,mintahelyek!$Y$4:$AJ$98,2,FALSE),"-")</f>
        <v>7136 Uovbwbhi Qnvptf</v>
      </c>
      <c r="G15" s="31" t="str">
        <f>IFERROR(VLOOKUP($A15,mintahelyek!$Y$4:$AJ$98,3,FALSE),"-")</f>
        <v>bNSCFQ</v>
      </c>
      <c r="H15" s="37" t="str">
        <f>IFERROR(VLOOKUP($A15,mintahelyek!$Y$4:$AJ$98,4,FALSE),"-")</f>
        <v>Qnvptf</v>
      </c>
      <c r="I15" s="37" t="str">
        <f>IFERROR(VLOOKUP($A15,mintahelyek!$Y$4:$AJ$98,5,FALSE),"-")</f>
        <v>KUT</v>
      </c>
      <c r="J15" s="66">
        <f>IFERROR(VLOOKUP($A15,mintahelyek!$Y$4:$AJ$98,6,FALSE),"-")</f>
        <v>20511827</v>
      </c>
      <c r="K15" s="1" t="str">
        <f>IFERROR(VLOOKUP(J15,mintahelyek!$C$3:$D$4,2,FALSE),"-")</f>
        <v>AQUA Szolgáltató Korlátolt Felelősségű Társaság</v>
      </c>
      <c r="L15" s="66" t="str">
        <f>IFERROR(VLOOKUP($A15,mintahelyek!$Y$4:$AJ$98,7,FALSE),"-")</f>
        <v>U</v>
      </c>
      <c r="M15" s="37">
        <f>IFERROR(VLOOKUP($A15,mintahelyek!$Y$4:$AJ$98,8,FALSE),"-")</f>
        <v>21889495</v>
      </c>
      <c r="N15" s="1" t="str">
        <f>IFERROR(VLOOKUP(M15,mintahelyek!$H$3:$J$7,2,FALSE),"-")</f>
        <v>NAH-1-1650/2019</v>
      </c>
      <c r="O15" s="67" t="str">
        <f>IFERROR(VLOOKUP(M15,mintahelyek!$H$3:$J$7,3,FALSE),"-")</f>
        <v>Aqua Szolgáltató Kft. Vizsgáló-laboratórium</v>
      </c>
      <c r="P15" s="19" t="str">
        <f>IFERROR(VLOOKUP($A15,mintahelyek!$Y$4:$AJ$98,9,FALSE),"-")</f>
        <v>TERV</v>
      </c>
      <c r="Q15" s="19" t="str">
        <f>IFERROR(VLOOKUP($A15,mintahelyek!$Y$4:$AJ$98,10,FALSE),"-")</f>
        <v>-</v>
      </c>
      <c r="R15" s="67">
        <f>IFERROR(VLOOKUP($A15,mintahelyek!$Y$4:$AJ$98,11,FALSE),"-")</f>
        <v>5977299521</v>
      </c>
      <c r="S15" s="17" t="s">
        <v>315</v>
      </c>
      <c r="T15" s="38" t="s">
        <v>316</v>
      </c>
      <c r="U15" s="67" t="str">
        <f>IFERROR(VLOOKUP(T15,mintahelyek!$T$3:$V$9,2,FALSE),"-")</f>
        <v>na</v>
      </c>
      <c r="V15" s="67" t="str">
        <f>IFERROR(VLOOKUP(T15,mintahelyek!$T$3:$V$9,3,FALSE),"-")</f>
        <v>Megrendelő</v>
      </c>
      <c r="W15" s="68" t="str">
        <f t="shared" si="1"/>
        <v>11/IV-Qnvptf</v>
      </c>
      <c r="X15" s="17" t="s">
        <v>44</v>
      </c>
      <c r="Y15" s="396" t="str">
        <f>VLOOKUP($X15,mintahelyek!$AN$3:$BK$23,_xlfn.XMATCH(Y$3,mintahelyek!$AN$2:$BK$2,0),FALSE)</f>
        <v>-</v>
      </c>
      <c r="Z15" s="396" t="str">
        <f>VLOOKUP($X15,mintahelyek!$AN$3:$BK$23,_xlfn.XMATCH(Z$3,mintahelyek!$AN$2:$BK$2,0),FALSE)</f>
        <v>-</v>
      </c>
      <c r="AA15" s="396" t="str">
        <f>VLOOKUP($X15,mintahelyek!$AN$3:$BK$23,_xlfn.XMATCH(AA$3,mintahelyek!$AN$2:$BK$2,0),FALSE)</f>
        <v>-</v>
      </c>
      <c r="AB15" s="396" t="str">
        <f>VLOOKUP($X15,mintahelyek!$AN$3:$BK$23,_xlfn.XMATCH(AB$3,mintahelyek!$AN$2:$BK$2,0),FALSE)</f>
        <v>-</v>
      </c>
      <c r="AC15" s="396" t="str">
        <f>VLOOKUP($X15,mintahelyek!$AN$3:$BK$23,_xlfn.XMATCH(AC$3,mintahelyek!$AN$2:$BK$2,0),FALSE)</f>
        <v>-</v>
      </c>
      <c r="AD15" s="396" t="str">
        <f>VLOOKUP($X15,mintahelyek!$AN$3:$BK$23,_xlfn.XMATCH(AD$3,mintahelyek!$AN$2:$BK$2,0),FALSE)</f>
        <v>-</v>
      </c>
      <c r="AE15" s="396" t="str">
        <f>VLOOKUP($X15,mintahelyek!$AN$3:$BK$23,_xlfn.XMATCH(AE$3,mintahelyek!$AN$2:$BK$2,0),FALSE)</f>
        <v>-</v>
      </c>
      <c r="AF15" s="396" t="str">
        <f>VLOOKUP($X15,mintahelyek!$AN$3:$BK$23,_xlfn.XMATCH(AF$3,mintahelyek!$AN$2:$BK$2,0),FALSE)</f>
        <v>-</v>
      </c>
      <c r="AG15" s="396" t="str">
        <f>VLOOKUP($X15,mintahelyek!$AN$3:$BK$23,_xlfn.XMATCH(AG$3,mintahelyek!$AN$2:$BK$2,0),FALSE)</f>
        <v>-</v>
      </c>
      <c r="AH15" s="396" t="str">
        <f>VLOOKUP($X15,mintahelyek!$AN$3:$BK$23,_xlfn.XMATCH(AH$3,mintahelyek!$AN$2:$BK$2,0),FALSE)</f>
        <v>-</v>
      </c>
      <c r="AI15" s="396" t="str">
        <f>VLOOKUP($X15,mintahelyek!$AN$3:$BK$23,_xlfn.XMATCH(AI$3,mintahelyek!$AN$2:$BK$2,0),FALSE)</f>
        <v>-</v>
      </c>
      <c r="AJ15" s="396" t="str">
        <f>VLOOKUP($X15,mintahelyek!$AN$3:$BK$23,_xlfn.XMATCH(AJ$3,mintahelyek!$AN$2:$BK$2,0),FALSE)</f>
        <v>-</v>
      </c>
      <c r="AK15" s="396" t="str">
        <f>VLOOKUP($X15,mintahelyek!$AN$3:$BK$23,_xlfn.XMATCH(AK$3,mintahelyek!$AN$2:$BK$2,0),FALSE)</f>
        <v>-</v>
      </c>
      <c r="AL15" s="396" t="str">
        <f>VLOOKUP($X15,mintahelyek!$AN$3:$BK$23,_xlfn.XMATCH(AL$3,mintahelyek!$AN$2:$BK$2,0),FALSE)</f>
        <v>-</v>
      </c>
      <c r="AM15" s="396" t="str">
        <f>VLOOKUP($X15,mintahelyek!$AN$3:$BK$23,_xlfn.XMATCH(AM$3,mintahelyek!$AN$2:$BK$2,0),FALSE)</f>
        <v>-</v>
      </c>
      <c r="AN15" s="396" t="str">
        <f>VLOOKUP($X15,mintahelyek!$AN$3:$BK$23,_xlfn.XMATCH(AN$3,mintahelyek!$AN$2:$BK$2,0),FALSE)</f>
        <v>-</v>
      </c>
      <c r="AO15" s="396" t="str">
        <f>VLOOKUP($X15,mintahelyek!$AN$3:$BK$23,_xlfn.XMATCH(AO$3,mintahelyek!$AN$2:$BK$2,0),FALSE)</f>
        <v>-</v>
      </c>
      <c r="AP15" s="396" t="str">
        <f>VLOOKUP($X15,mintahelyek!$AN$3:$BK$23,_xlfn.XMATCH(AP$3,mintahelyek!$AN$2:$BK$2,0),FALSE)</f>
        <v>-</v>
      </c>
      <c r="AQ15" s="396" t="str">
        <f>VLOOKUP($X15,mintahelyek!$AN$3:$BK$23,_xlfn.XMATCH(AQ$3,mintahelyek!$AN$2:$BK$2,0),FALSE)</f>
        <v>-</v>
      </c>
      <c r="AR15" s="396" t="str">
        <f>VLOOKUP($X15,mintahelyek!$AN$3:$BK$23,_xlfn.XMATCH(AR$3,mintahelyek!$AN$2:$BK$2,0),FALSE)</f>
        <v>-</v>
      </c>
      <c r="AS15" s="396" t="str">
        <f>VLOOKUP($X15,mintahelyek!$AN$3:$BK$23,_xlfn.XMATCH(AS$3,mintahelyek!$AN$2:$BK$2,0),FALSE)</f>
        <v>-</v>
      </c>
      <c r="AT15" s="397" t="str">
        <f>VLOOKUP($X15,mintahelyek!$AN$3:$BK$23,_xlfn.XMATCH(AT$3,mintahelyek!$AN$2:$BK$2,0),FALSE)</f>
        <v>-</v>
      </c>
      <c r="AU15" s="400">
        <f t="shared" si="2"/>
        <v>45324</v>
      </c>
      <c r="AV15" s="51"/>
      <c r="AW15" s="51"/>
      <c r="AX15" s="51"/>
      <c r="AY15" s="51"/>
      <c r="AZ15" s="51"/>
      <c r="BA15" s="51"/>
      <c r="BB15" s="51"/>
      <c r="BC15" s="51"/>
      <c r="BD15" s="51"/>
      <c r="BE15" s="51"/>
      <c r="BG15" s="1" t="str">
        <f t="shared" si="3"/>
        <v>11/IV</v>
      </c>
      <c r="BH15" s="69">
        <f t="shared" si="4"/>
        <v>45302</v>
      </c>
      <c r="BI15" s="70">
        <f t="shared" si="5"/>
        <v>2024</v>
      </c>
      <c r="BJ15" s="70">
        <f t="shared" si="11"/>
        <v>1</v>
      </c>
      <c r="BK15" s="70" t="str">
        <f t="shared" si="6"/>
        <v>IV</v>
      </c>
      <c r="BL15" s="71" t="str">
        <f t="shared" si="7"/>
        <v>7136 Uovbwbhi Qnvptf</v>
      </c>
      <c r="BM15" s="72" t="str">
        <f>'NH4'!U19</f>
        <v>0,09</v>
      </c>
      <c r="BN15" s="72" t="str">
        <f>'NO3'!U19</f>
        <v>2,74</v>
      </c>
      <c r="BO15" s="72" t="str">
        <f>'NO2'!U19</f>
        <v>0,10</v>
      </c>
      <c r="BP15" s="73" t="str">
        <f>Fe!U19</f>
        <v>0,13</v>
      </c>
      <c r="BQ15" s="73" t="str">
        <f>Mn!U19</f>
        <v>0,15</v>
      </c>
      <c r="BR15" s="72" t="str">
        <f>Cl!T19</f>
        <v>20,0</v>
      </c>
      <c r="BS15" s="72" t="str">
        <f>KOIps!T19</f>
        <v>1,10</v>
      </c>
      <c r="BT15" s="72" t="str">
        <f>ÖK!Q19</f>
        <v>140</v>
      </c>
      <c r="BU15" s="62" t="str">
        <f>ÖK!S19</f>
        <v>50,0</v>
      </c>
      <c r="BV15" s="73" t="str">
        <f>ÖK!T19</f>
        <v>30,3</v>
      </c>
      <c r="BW15" s="72" t="str">
        <f>Lúgosság!T19</f>
        <v>4,00</v>
      </c>
      <c r="BX15" s="62" t="str">
        <f>IF('pH,EC'!O19="-",'pH,EC'!O48,'pH,EC'!O19)</f>
        <v>7,22</v>
      </c>
      <c r="BY15" s="62" t="str">
        <f>IF('pH,EC'!P19="-",'pH,EC'!P48,'pH,EC'!P19)</f>
        <v>450</v>
      </c>
      <c r="BZ15" s="62" t="str">
        <f>IF('pH,EC'!Q19="-",'pH,EC'!Q48,'pH,EC'!Q19)</f>
        <v>11,0</v>
      </c>
      <c r="CA15" s="62" t="str">
        <f>'SO4'!R19</f>
        <v>91</v>
      </c>
      <c r="CB15" s="74" t="str">
        <f>IF('pH,EC'!R19="-",'pH,EC'!R48,'pH,EC'!R19)</f>
        <v>0,30</v>
      </c>
      <c r="CC15" s="74" t="str">
        <f>TEMP!B17</f>
        <v>szintelen</v>
      </c>
      <c r="CD15" s="74" t="str">
        <f>TEMP!C17</f>
        <v>szagtalan</v>
      </c>
      <c r="CE15" s="74" t="str">
        <f>TEMP!D17</f>
        <v>iztelen</v>
      </c>
      <c r="CF15" s="62" t="str">
        <f>Lúgosság!U19</f>
        <v>244</v>
      </c>
      <c r="CJ15" s="99" t="str">
        <f t="shared" si="12"/>
        <v>5/IV</v>
      </c>
      <c r="CK15" s="100">
        <f t="shared" si="13"/>
        <v>45296</v>
      </c>
      <c r="CL15" s="101" t="str">
        <f t="shared" si="14"/>
        <v>3086 Aaompjnhr Ubqpva</v>
      </c>
      <c r="CM15" s="102" t="str">
        <f t="shared" si="15"/>
        <v>0,04</v>
      </c>
      <c r="CN15" s="102" t="str">
        <f t="shared" si="16"/>
        <v>1,25</v>
      </c>
      <c r="CO15" s="102" t="str">
        <f t="shared" si="17"/>
        <v>0,05</v>
      </c>
      <c r="CP15" s="102" t="str">
        <f t="shared" si="18"/>
        <v>0,06</v>
      </c>
      <c r="CQ15" s="102" t="str">
        <f t="shared" si="19"/>
        <v>0,07</v>
      </c>
      <c r="CR15" s="102" t="str">
        <f t="shared" si="20"/>
        <v>14,0</v>
      </c>
      <c r="CS15" s="103" t="str">
        <f t="shared" si="21"/>
        <v>0,50</v>
      </c>
      <c r="CT15" s="102" t="str">
        <f t="shared" si="22"/>
        <v>128</v>
      </c>
      <c r="CU15" s="102" t="str">
        <f t="shared" si="23"/>
        <v>45,7</v>
      </c>
      <c r="CV15" s="102" t="str">
        <f t="shared" si="24"/>
        <v>27,7</v>
      </c>
      <c r="CW15" s="104" t="str">
        <f t="shared" si="25"/>
        <v>3,40</v>
      </c>
      <c r="CX15" s="104" t="str">
        <f t="shared" si="26"/>
        <v>207</v>
      </c>
      <c r="CY15" s="104" t="str">
        <f t="shared" si="27"/>
        <v>7,10</v>
      </c>
      <c r="CZ15" s="104" t="str">
        <f t="shared" si="28"/>
        <v>420</v>
      </c>
      <c r="DA15" s="104" t="str">
        <f t="shared" si="29"/>
        <v>10,4</v>
      </c>
      <c r="DB15" s="105" t="str">
        <f t="shared" si="30"/>
        <v>41</v>
      </c>
      <c r="DC15" s="106" t="str">
        <f t="shared" si="31"/>
        <v>0,18</v>
      </c>
      <c r="DF15" s="79" t="str">
        <f t="shared" si="8"/>
        <v>IV</v>
      </c>
      <c r="DG15" s="71">
        <f t="shared" si="9"/>
        <v>2024</v>
      </c>
      <c r="DH15" s="80" t="str">
        <f>Fe!M9</f>
        <v>-</v>
      </c>
      <c r="DI15" s="71" t="s">
        <v>143</v>
      </c>
      <c r="DJ15" s="71" t="s">
        <v>62</v>
      </c>
      <c r="DK15" s="71" t="str">
        <f>Fe!A24</f>
        <v>QC2 (0,2)</v>
      </c>
      <c r="DL15" s="387">
        <v>0.2</v>
      </c>
      <c r="DM15" s="71">
        <f>Fe!G24</f>
        <v>0.21852000000000002</v>
      </c>
      <c r="DN15" s="71">
        <f>Fe!H24</f>
        <v>109.3</v>
      </c>
      <c r="DO15" s="81" t="s">
        <v>44</v>
      </c>
      <c r="DQ15" s="60" t="s">
        <v>129</v>
      </c>
      <c r="DR15" s="60" t="s">
        <v>169</v>
      </c>
      <c r="DS15" s="62" t="s">
        <v>60</v>
      </c>
      <c r="DT15" s="61">
        <v>100</v>
      </c>
      <c r="DU15" s="61" t="s">
        <v>153</v>
      </c>
      <c r="DV15" s="62" t="s">
        <v>56</v>
      </c>
      <c r="DW15" s="98" t="s">
        <v>44</v>
      </c>
      <c r="DX15" s="98" t="s">
        <v>44</v>
      </c>
      <c r="DY15" s="98" t="s">
        <v>44</v>
      </c>
      <c r="DZ15" s="98" t="s">
        <v>44</v>
      </c>
      <c r="EA15" s="98" t="s">
        <v>44</v>
      </c>
      <c r="EB15" s="98" t="s">
        <v>44</v>
      </c>
      <c r="EG15" s="63" t="s">
        <v>169</v>
      </c>
      <c r="EH15" s="64" t="str">
        <f>Lúgosság!M9</f>
        <v>-</v>
      </c>
      <c r="EI15" s="56"/>
      <c r="EJ15" s="56"/>
      <c r="EK15" s="56"/>
      <c r="EL15" s="56"/>
      <c r="EM15" s="56"/>
      <c r="EN15" s="56"/>
      <c r="EO15" s="56"/>
      <c r="EP15" s="56"/>
    </row>
    <row r="16" spans="1:146" ht="19.5" customHeight="1" thickBot="1" x14ac:dyDescent="0.55000000000000004">
      <c r="A16" s="2" t="s">
        <v>993</v>
      </c>
      <c r="B16" s="2">
        <v>12</v>
      </c>
      <c r="C16" s="37" t="str">
        <f>IFERROR(VLOOKUP($A16,mintahelyek!$Y$4:$AJ$98,12,FALSE),"-")</f>
        <v>IV</v>
      </c>
      <c r="D16" s="65" t="str">
        <f t="shared" si="0"/>
        <v>12/IV</v>
      </c>
      <c r="E16" s="36">
        <f t="shared" si="10"/>
        <v>45303</v>
      </c>
      <c r="F16" s="37" t="str">
        <f>IFERROR(VLOOKUP($A16,mintahelyek!$Y$4:$AJ$98,2,FALSE),"-")</f>
        <v>3176 Swsvfdsfv Lebdoq</v>
      </c>
      <c r="G16" s="31" t="str">
        <f>IFERROR(VLOOKUP($A16,mintahelyek!$Y$4:$AJ$98,3,FALSE),"-")</f>
        <v>bNSCFQ</v>
      </c>
      <c r="H16" s="37" t="str">
        <f>IFERROR(VLOOKUP($A16,mintahelyek!$Y$4:$AJ$98,4,FALSE),"-")</f>
        <v>Lebdoq</v>
      </c>
      <c r="I16" s="37" t="str">
        <f>IFERROR(VLOOKUP($A16,mintahelyek!$Y$4:$AJ$98,5,FALSE),"-")</f>
        <v>IV</v>
      </c>
      <c r="J16" s="66">
        <f>IFERROR(VLOOKUP($A16,mintahelyek!$Y$4:$AJ$98,6,FALSE),"-")</f>
        <v>20511827</v>
      </c>
      <c r="K16" s="1" t="str">
        <f>IFERROR(VLOOKUP(J16,mintahelyek!$C$3:$D$4,2,FALSE),"-")</f>
        <v>AQUA Szolgáltató Korlátolt Felelősségű Társaság</v>
      </c>
      <c r="L16" s="66" t="str">
        <f>IFERROR(VLOOKUP($A16,mintahelyek!$Y$4:$AJ$98,7,FALSE),"-")</f>
        <v>U</v>
      </c>
      <c r="M16" s="37">
        <f>IFERROR(VLOOKUP($A16,mintahelyek!$Y$4:$AJ$98,8,FALSE),"-")</f>
        <v>21889495</v>
      </c>
      <c r="N16" s="1" t="str">
        <f>IFERROR(VLOOKUP(M16,mintahelyek!$H$3:$J$7,2,FALSE),"-")</f>
        <v>NAH-1-1650/2019</v>
      </c>
      <c r="O16" s="67" t="str">
        <f>IFERROR(VLOOKUP(M16,mintahelyek!$H$3:$J$7,3,FALSE),"-")</f>
        <v>Aqua Szolgáltató Kft. Vizsgáló-laboratórium</v>
      </c>
      <c r="P16" s="19" t="str">
        <f>IFERROR(VLOOKUP($A16,mintahelyek!$Y$4:$AJ$98,9,FALSE),"-")</f>
        <v>TERV</v>
      </c>
      <c r="Q16" s="19" t="str">
        <f>IFERROR(VLOOKUP($A16,mintahelyek!$Y$4:$AJ$98,10,FALSE),"-")</f>
        <v>-</v>
      </c>
      <c r="R16" s="67">
        <f>IFERROR(VLOOKUP($A16,mintahelyek!$Y$4:$AJ$98,11,FALSE),"-")</f>
        <v>3360247752</v>
      </c>
      <c r="S16" s="17" t="s">
        <v>60</v>
      </c>
      <c r="T16" s="38" t="s">
        <v>60</v>
      </c>
      <c r="U16" s="67" t="str">
        <f>IFERROR(VLOOKUP(T16,mintahelyek!$T$3:$V$9,2,FALSE),"-")</f>
        <v>na</v>
      </c>
      <c r="V16" s="67" t="str">
        <f>IFERROR(VLOOKUP(T16,mintahelyek!$T$3:$V$9,3,FALSE),"-")</f>
        <v>ismeretlen</v>
      </c>
      <c r="W16" s="68" t="str">
        <f t="shared" si="1"/>
        <v>12/IV-Lebdoq</v>
      </c>
      <c r="X16" s="17" t="s">
        <v>44</v>
      </c>
      <c r="Y16" s="396" t="str">
        <f>VLOOKUP($X16,mintahelyek!$AN$3:$BK$23,_xlfn.XMATCH(Y$3,mintahelyek!$AN$2:$BK$2,0),FALSE)</f>
        <v>-</v>
      </c>
      <c r="Z16" s="396" t="str">
        <f>VLOOKUP($X16,mintahelyek!$AN$3:$BK$23,_xlfn.XMATCH(Z$3,mintahelyek!$AN$2:$BK$2,0),FALSE)</f>
        <v>-</v>
      </c>
      <c r="AA16" s="396" t="str">
        <f>VLOOKUP($X16,mintahelyek!$AN$3:$BK$23,_xlfn.XMATCH(AA$3,mintahelyek!$AN$2:$BK$2,0),FALSE)</f>
        <v>-</v>
      </c>
      <c r="AB16" s="396" t="str">
        <f>VLOOKUP($X16,mintahelyek!$AN$3:$BK$23,_xlfn.XMATCH(AB$3,mintahelyek!$AN$2:$BK$2,0),FALSE)</f>
        <v>-</v>
      </c>
      <c r="AC16" s="396" t="str">
        <f>VLOOKUP($X16,mintahelyek!$AN$3:$BK$23,_xlfn.XMATCH(AC$3,mintahelyek!$AN$2:$BK$2,0),FALSE)</f>
        <v>-</v>
      </c>
      <c r="AD16" s="396" t="str">
        <f>VLOOKUP($X16,mintahelyek!$AN$3:$BK$23,_xlfn.XMATCH(AD$3,mintahelyek!$AN$2:$BK$2,0),FALSE)</f>
        <v>-</v>
      </c>
      <c r="AE16" s="396" t="str">
        <f>VLOOKUP($X16,mintahelyek!$AN$3:$BK$23,_xlfn.XMATCH(AE$3,mintahelyek!$AN$2:$BK$2,0),FALSE)</f>
        <v>-</v>
      </c>
      <c r="AF16" s="396" t="str">
        <f>VLOOKUP($X16,mintahelyek!$AN$3:$BK$23,_xlfn.XMATCH(AF$3,mintahelyek!$AN$2:$BK$2,0),FALSE)</f>
        <v>-</v>
      </c>
      <c r="AG16" s="396" t="str">
        <f>VLOOKUP($X16,mintahelyek!$AN$3:$BK$23,_xlfn.XMATCH(AG$3,mintahelyek!$AN$2:$BK$2,0),FALSE)</f>
        <v>-</v>
      </c>
      <c r="AH16" s="396" t="str">
        <f>VLOOKUP($X16,mintahelyek!$AN$3:$BK$23,_xlfn.XMATCH(AH$3,mintahelyek!$AN$2:$BK$2,0),FALSE)</f>
        <v>-</v>
      </c>
      <c r="AI16" s="396" t="str">
        <f>VLOOKUP($X16,mintahelyek!$AN$3:$BK$23,_xlfn.XMATCH(AI$3,mintahelyek!$AN$2:$BK$2,0),FALSE)</f>
        <v>-</v>
      </c>
      <c r="AJ16" s="396" t="str">
        <f>VLOOKUP($X16,mintahelyek!$AN$3:$BK$23,_xlfn.XMATCH(AJ$3,mintahelyek!$AN$2:$BK$2,0),FALSE)</f>
        <v>-</v>
      </c>
      <c r="AK16" s="396" t="str">
        <f>VLOOKUP($X16,mintahelyek!$AN$3:$BK$23,_xlfn.XMATCH(AK$3,mintahelyek!$AN$2:$BK$2,0),FALSE)</f>
        <v>-</v>
      </c>
      <c r="AL16" s="396" t="str">
        <f>VLOOKUP($X16,mintahelyek!$AN$3:$BK$23,_xlfn.XMATCH(AL$3,mintahelyek!$AN$2:$BK$2,0),FALSE)</f>
        <v>-</v>
      </c>
      <c r="AM16" s="396" t="str">
        <f>VLOOKUP($X16,mintahelyek!$AN$3:$BK$23,_xlfn.XMATCH(AM$3,mintahelyek!$AN$2:$BK$2,0),FALSE)</f>
        <v>-</v>
      </c>
      <c r="AN16" s="396" t="str">
        <f>VLOOKUP($X16,mintahelyek!$AN$3:$BK$23,_xlfn.XMATCH(AN$3,mintahelyek!$AN$2:$BK$2,0),FALSE)</f>
        <v>-</v>
      </c>
      <c r="AO16" s="396" t="str">
        <f>VLOOKUP($X16,mintahelyek!$AN$3:$BK$23,_xlfn.XMATCH(AO$3,mintahelyek!$AN$2:$BK$2,0),FALSE)</f>
        <v>-</v>
      </c>
      <c r="AP16" s="396" t="str">
        <f>VLOOKUP($X16,mintahelyek!$AN$3:$BK$23,_xlfn.XMATCH(AP$3,mintahelyek!$AN$2:$BK$2,0),FALSE)</f>
        <v>-</v>
      </c>
      <c r="AQ16" s="396" t="str">
        <f>VLOOKUP($X16,mintahelyek!$AN$3:$BK$23,_xlfn.XMATCH(AQ$3,mintahelyek!$AN$2:$BK$2,0),FALSE)</f>
        <v>-</v>
      </c>
      <c r="AR16" s="396" t="str">
        <f>VLOOKUP($X16,mintahelyek!$AN$3:$BK$23,_xlfn.XMATCH(AR$3,mintahelyek!$AN$2:$BK$2,0),FALSE)</f>
        <v>-</v>
      </c>
      <c r="AS16" s="396" t="str">
        <f>VLOOKUP($X16,mintahelyek!$AN$3:$BK$23,_xlfn.XMATCH(AS$3,mintahelyek!$AN$2:$BK$2,0),FALSE)</f>
        <v>-</v>
      </c>
      <c r="AT16" s="397" t="str">
        <f>VLOOKUP($X16,mintahelyek!$AN$3:$BK$23,_xlfn.XMATCH(AT$3,mintahelyek!$AN$2:$BK$2,0),FALSE)</f>
        <v>-</v>
      </c>
      <c r="AU16" s="400">
        <f t="shared" si="2"/>
        <v>45324</v>
      </c>
      <c r="AV16" s="51"/>
      <c r="AW16" s="51"/>
      <c r="AX16" s="51"/>
      <c r="AY16" s="51"/>
      <c r="AZ16" s="51"/>
      <c r="BA16" s="51"/>
      <c r="BB16" s="51"/>
      <c r="BC16" s="51"/>
      <c r="BD16" s="51"/>
      <c r="BE16" s="51"/>
      <c r="BG16" s="1" t="str">
        <f t="shared" si="3"/>
        <v>12/IV</v>
      </c>
      <c r="BH16" s="69">
        <f t="shared" si="4"/>
        <v>45303</v>
      </c>
      <c r="BI16" s="70">
        <f t="shared" si="5"/>
        <v>2024</v>
      </c>
      <c r="BJ16" s="70">
        <f t="shared" si="11"/>
        <v>1</v>
      </c>
      <c r="BK16" s="70" t="str">
        <f t="shared" si="6"/>
        <v>IV</v>
      </c>
      <c r="BL16" s="71" t="str">
        <f t="shared" si="7"/>
        <v>3176 Swsvfdsfv Lebdoq</v>
      </c>
      <c r="BM16" s="72" t="str">
        <f>'NH4'!U20</f>
        <v>0,10</v>
      </c>
      <c r="BN16" s="72" t="str">
        <f>'NO3'!U20</f>
        <v>2,99</v>
      </c>
      <c r="BO16" s="72" t="str">
        <f>'NO2'!U20</f>
        <v>0,11</v>
      </c>
      <c r="BP16" s="73" t="str">
        <f>Fe!U20</f>
        <v>0,15</v>
      </c>
      <c r="BQ16" s="73" t="str">
        <f>Mn!U20</f>
        <v>0,16</v>
      </c>
      <c r="BR16" s="72" t="str">
        <f>Cl!T20</f>
        <v>21,0</v>
      </c>
      <c r="BS16" s="72" t="str">
        <f>KOIps!T20</f>
        <v>1,20</v>
      </c>
      <c r="BT16" s="72" t="str">
        <f>ÖK!Q20</f>
        <v>142</v>
      </c>
      <c r="BU16" s="62" t="str">
        <f>ÖK!S20</f>
        <v>50,7</v>
      </c>
      <c r="BV16" s="73" t="str">
        <f>ÖK!T20</f>
        <v>30,8</v>
      </c>
      <c r="BW16" s="72" t="str">
        <f>Lúgosság!T20</f>
        <v>4,10</v>
      </c>
      <c r="BX16" s="62" t="str">
        <f>IF('pH,EC'!O20="-",'pH,EC'!O49,'pH,EC'!O20)</f>
        <v>7,24</v>
      </c>
      <c r="BY16" s="62" t="str">
        <f>IF('pH,EC'!P20="-",'pH,EC'!P49,'pH,EC'!P20)</f>
        <v>455</v>
      </c>
      <c r="BZ16" s="62" t="str">
        <f>IF('pH,EC'!Q20="-",'pH,EC'!Q49,'pH,EC'!Q20)</f>
        <v>11,1</v>
      </c>
      <c r="CA16" s="62" t="str">
        <f>'SO4'!R20</f>
        <v>99</v>
      </c>
      <c r="CB16" s="74" t="str">
        <f>IF('pH,EC'!R20="-",'pH,EC'!R49,'pH,EC'!R20)</f>
        <v>0,32</v>
      </c>
      <c r="CC16" s="74" t="str">
        <f>TEMP!B18</f>
        <v>szintelen</v>
      </c>
      <c r="CD16" s="74" t="str">
        <f>TEMP!C18</f>
        <v>szagtalan</v>
      </c>
      <c r="CE16" s="74" t="str">
        <f>TEMP!D18</f>
        <v>iztelen</v>
      </c>
      <c r="CF16" s="62" t="str">
        <f>Lúgosság!U20</f>
        <v>250</v>
      </c>
      <c r="CJ16" s="99" t="str">
        <f t="shared" si="12"/>
        <v>6/IV</v>
      </c>
      <c r="CK16" s="100">
        <f t="shared" si="13"/>
        <v>45297</v>
      </c>
      <c r="CL16" s="101" t="str">
        <f t="shared" si="14"/>
        <v>7919 Jxbxjr Eouypz</v>
      </c>
      <c r="CM16" s="102" t="str">
        <f t="shared" si="15"/>
        <v>0,05</v>
      </c>
      <c r="CN16" s="102" t="str">
        <f t="shared" si="16"/>
        <v>1,49</v>
      </c>
      <c r="CO16" s="102" t="str">
        <f t="shared" si="17"/>
        <v>0,06</v>
      </c>
      <c r="CP16" s="102" t="str">
        <f t="shared" si="18"/>
        <v>0,07</v>
      </c>
      <c r="CQ16" s="102" t="str">
        <f t="shared" si="19"/>
        <v>0,08</v>
      </c>
      <c r="CR16" s="102" t="str">
        <f t="shared" si="20"/>
        <v>15,0</v>
      </c>
      <c r="CS16" s="103" t="str">
        <f t="shared" si="21"/>
        <v>0,60</v>
      </c>
      <c r="CT16" s="102" t="str">
        <f t="shared" si="22"/>
        <v>130</v>
      </c>
      <c r="CU16" s="102" t="str">
        <f t="shared" si="23"/>
        <v>46,5</v>
      </c>
      <c r="CV16" s="102" t="str">
        <f t="shared" si="24"/>
        <v>28,2</v>
      </c>
      <c r="CW16" s="104" t="str">
        <f t="shared" si="25"/>
        <v>3,50</v>
      </c>
      <c r="CX16" s="104" t="str">
        <f t="shared" si="26"/>
        <v>214</v>
      </c>
      <c r="CY16" s="104" t="str">
        <f t="shared" si="27"/>
        <v>7,12</v>
      </c>
      <c r="CZ16" s="104" t="str">
        <f t="shared" si="28"/>
        <v>425</v>
      </c>
      <c r="DA16" s="104" t="str">
        <f t="shared" si="29"/>
        <v>10,5</v>
      </c>
      <c r="DB16" s="105" t="str">
        <f t="shared" si="30"/>
        <v>49</v>
      </c>
      <c r="DC16" s="106" t="str">
        <f t="shared" si="31"/>
        <v>0,20</v>
      </c>
      <c r="DF16" s="83" t="str">
        <f t="shared" si="8"/>
        <v>IV</v>
      </c>
      <c r="DG16" s="84">
        <f t="shared" si="9"/>
        <v>2024</v>
      </c>
      <c r="DH16" s="85" t="str">
        <f>Fe!M9</f>
        <v>-</v>
      </c>
      <c r="DI16" s="84" t="s">
        <v>143</v>
      </c>
      <c r="DJ16" s="84" t="s">
        <v>81</v>
      </c>
      <c r="DK16" s="84" t="s">
        <v>80</v>
      </c>
      <c r="DL16" s="388" t="s">
        <v>44</v>
      </c>
      <c r="DM16" s="84">
        <f>Fe!B7</f>
        <v>0</v>
      </c>
      <c r="DN16" s="84" t="s">
        <v>44</v>
      </c>
      <c r="DO16" s="86" t="s">
        <v>44</v>
      </c>
      <c r="DQ16" s="60" t="s">
        <v>129</v>
      </c>
      <c r="DR16" s="60" t="s">
        <v>172</v>
      </c>
      <c r="DS16" s="62" t="s">
        <v>60</v>
      </c>
      <c r="DT16" s="62" t="s">
        <v>173</v>
      </c>
      <c r="DU16" s="61" t="s">
        <v>174</v>
      </c>
      <c r="DV16" s="62" t="s">
        <v>56</v>
      </c>
      <c r="DW16" s="98" t="s">
        <v>44</v>
      </c>
      <c r="DX16" s="98" t="s">
        <v>44</v>
      </c>
      <c r="DY16" s="98" t="s">
        <v>44</v>
      </c>
      <c r="DZ16" s="98" t="s">
        <v>44</v>
      </c>
      <c r="EA16" s="98" t="s">
        <v>44</v>
      </c>
      <c r="EB16" s="98" t="s">
        <v>44</v>
      </c>
      <c r="EG16" s="63" t="s">
        <v>186</v>
      </c>
      <c r="EH16" s="64" t="str">
        <f>ÖK!M9</f>
        <v>-</v>
      </c>
      <c r="EI16" s="56"/>
      <c r="EJ16" s="56"/>
      <c r="EK16" s="56"/>
      <c r="EL16" s="56"/>
      <c r="EM16" s="56"/>
      <c r="EN16" s="56"/>
      <c r="EO16" s="56"/>
      <c r="EP16" s="56"/>
    </row>
    <row r="17" spans="1:146" ht="19.5" customHeight="1" x14ac:dyDescent="0.5">
      <c r="A17" s="2" t="s">
        <v>994</v>
      </c>
      <c r="B17" s="206">
        <v>13</v>
      </c>
      <c r="C17" s="37" t="str">
        <f>IFERROR(VLOOKUP($A17,mintahelyek!$Y$4:$AJ$98,12,FALSE),"-")</f>
        <v>IV</v>
      </c>
      <c r="D17" s="65" t="str">
        <f t="shared" si="0"/>
        <v>13/IV</v>
      </c>
      <c r="E17" s="36">
        <f t="shared" si="10"/>
        <v>45304</v>
      </c>
      <c r="F17" s="37" t="str">
        <f>IFERROR(VLOOKUP($A17,mintahelyek!$Y$4:$AJ$98,2,FALSE),"-")</f>
        <v>3916 Vqhezdzow Askfua</v>
      </c>
      <c r="G17" s="31" t="str">
        <f>IFERROR(VLOOKUP($A17,mintahelyek!$Y$4:$AJ$98,3,FALSE),"-")</f>
        <v>bNSCFQ</v>
      </c>
      <c r="H17" s="37" t="str">
        <f>IFERROR(VLOOKUP($A17,mintahelyek!$Y$4:$AJ$98,4,FALSE),"-")</f>
        <v>Askfua</v>
      </c>
      <c r="I17" s="37" t="str">
        <f>IFERROR(VLOOKUP($A17,mintahelyek!$Y$4:$AJ$98,5,FALSE),"-")</f>
        <v>IV</v>
      </c>
      <c r="J17" s="66">
        <f>IFERROR(VLOOKUP($A17,mintahelyek!$Y$4:$AJ$98,6,FALSE),"-")</f>
        <v>20511827</v>
      </c>
      <c r="K17" s="1" t="str">
        <f>IFERROR(VLOOKUP(J17,mintahelyek!$C$3:$D$4,2,FALSE),"-")</f>
        <v>AQUA Szolgáltató Korlátolt Felelősségű Társaság</v>
      </c>
      <c r="L17" s="66" t="str">
        <f>IFERROR(VLOOKUP($A17,mintahelyek!$Y$4:$AJ$98,7,FALSE),"-")</f>
        <v>U</v>
      </c>
      <c r="M17" s="37">
        <f>IFERROR(VLOOKUP($A17,mintahelyek!$Y$4:$AJ$98,8,FALSE),"-")</f>
        <v>21889495</v>
      </c>
      <c r="N17" s="1" t="str">
        <f>IFERROR(VLOOKUP(M17,mintahelyek!$H$3:$J$7,2,FALSE),"-")</f>
        <v>NAH-1-1650/2019</v>
      </c>
      <c r="O17" s="67" t="str">
        <f>IFERROR(VLOOKUP(M17,mintahelyek!$H$3:$J$7,3,FALSE),"-")</f>
        <v>Aqua Szolgáltató Kft. Vizsgáló-laboratórium</v>
      </c>
      <c r="P17" s="19" t="str">
        <f>IFERROR(VLOOKUP($A17,mintahelyek!$Y$4:$AJ$98,9,FALSE),"-")</f>
        <v>TERV</v>
      </c>
      <c r="Q17" s="19" t="str">
        <f>IFERROR(VLOOKUP($A17,mintahelyek!$Y$4:$AJ$98,10,FALSE),"-")</f>
        <v>-</v>
      </c>
      <c r="R17" s="67">
        <f>IFERROR(VLOOKUP($A17,mintahelyek!$Y$4:$AJ$98,11,FALSE),"-")</f>
        <v>9451275700</v>
      </c>
      <c r="S17" s="17" t="s">
        <v>277</v>
      </c>
      <c r="T17" s="38">
        <v>21889495</v>
      </c>
      <c r="U17" s="67" t="str">
        <f>IFERROR(VLOOKUP(T17,mintahelyek!$T$3:$V$9,2,FALSE),"-")</f>
        <v>NAH-1-1650/2019</v>
      </c>
      <c r="V17" s="67" t="str">
        <f>IFERROR(VLOOKUP(T17,mintahelyek!$T$3:$V$9,3,FALSE),"-")</f>
        <v>Aqua Szolgáltató Kft. Vizsgáló-laboratórium</v>
      </c>
      <c r="W17" s="68" t="str">
        <f t="shared" si="1"/>
        <v>13/IV-Askfua</v>
      </c>
      <c r="X17" s="17" t="s">
        <v>44</v>
      </c>
      <c r="Y17" s="396" t="str">
        <f>VLOOKUP($X17,mintahelyek!$AN$3:$BK$23,_xlfn.XMATCH(Y$3,mintahelyek!$AN$2:$BK$2,0),FALSE)</f>
        <v>-</v>
      </c>
      <c r="Z17" s="396" t="str">
        <f>VLOOKUP($X17,mintahelyek!$AN$3:$BK$23,_xlfn.XMATCH(Z$3,mintahelyek!$AN$2:$BK$2,0),FALSE)</f>
        <v>-</v>
      </c>
      <c r="AA17" s="396" t="str">
        <f>VLOOKUP($X17,mintahelyek!$AN$3:$BK$23,_xlfn.XMATCH(AA$3,mintahelyek!$AN$2:$BK$2,0),FALSE)</f>
        <v>-</v>
      </c>
      <c r="AB17" s="396" t="str">
        <f>VLOOKUP($X17,mintahelyek!$AN$3:$BK$23,_xlfn.XMATCH(AB$3,mintahelyek!$AN$2:$BK$2,0),FALSE)</f>
        <v>-</v>
      </c>
      <c r="AC17" s="396" t="str">
        <f>VLOOKUP($X17,mintahelyek!$AN$3:$BK$23,_xlfn.XMATCH(AC$3,mintahelyek!$AN$2:$BK$2,0),FALSE)</f>
        <v>-</v>
      </c>
      <c r="AD17" s="396" t="str">
        <f>VLOOKUP($X17,mintahelyek!$AN$3:$BK$23,_xlfn.XMATCH(AD$3,mintahelyek!$AN$2:$BK$2,0),FALSE)</f>
        <v>-</v>
      </c>
      <c r="AE17" s="396" t="str">
        <f>VLOOKUP($X17,mintahelyek!$AN$3:$BK$23,_xlfn.XMATCH(AE$3,mintahelyek!$AN$2:$BK$2,0),FALSE)</f>
        <v>-</v>
      </c>
      <c r="AF17" s="396" t="str">
        <f>VLOOKUP($X17,mintahelyek!$AN$3:$BK$23,_xlfn.XMATCH(AF$3,mintahelyek!$AN$2:$BK$2,0),FALSE)</f>
        <v>-</v>
      </c>
      <c r="AG17" s="396" t="str">
        <f>VLOOKUP($X17,mintahelyek!$AN$3:$BK$23,_xlfn.XMATCH(AG$3,mintahelyek!$AN$2:$BK$2,0),FALSE)</f>
        <v>-</v>
      </c>
      <c r="AH17" s="396" t="str">
        <f>VLOOKUP($X17,mintahelyek!$AN$3:$BK$23,_xlfn.XMATCH(AH$3,mintahelyek!$AN$2:$BK$2,0),FALSE)</f>
        <v>-</v>
      </c>
      <c r="AI17" s="396" t="str">
        <f>VLOOKUP($X17,mintahelyek!$AN$3:$BK$23,_xlfn.XMATCH(AI$3,mintahelyek!$AN$2:$BK$2,0),FALSE)</f>
        <v>-</v>
      </c>
      <c r="AJ17" s="396" t="str">
        <f>VLOOKUP($X17,mintahelyek!$AN$3:$BK$23,_xlfn.XMATCH(AJ$3,mintahelyek!$AN$2:$BK$2,0),FALSE)</f>
        <v>-</v>
      </c>
      <c r="AK17" s="396" t="str">
        <f>VLOOKUP($X17,mintahelyek!$AN$3:$BK$23,_xlfn.XMATCH(AK$3,mintahelyek!$AN$2:$BK$2,0),FALSE)</f>
        <v>-</v>
      </c>
      <c r="AL17" s="396" t="str">
        <f>VLOOKUP($X17,mintahelyek!$AN$3:$BK$23,_xlfn.XMATCH(AL$3,mintahelyek!$AN$2:$BK$2,0),FALSE)</f>
        <v>-</v>
      </c>
      <c r="AM17" s="396" t="str">
        <f>VLOOKUP($X17,mintahelyek!$AN$3:$BK$23,_xlfn.XMATCH(AM$3,mintahelyek!$AN$2:$BK$2,0),FALSE)</f>
        <v>-</v>
      </c>
      <c r="AN17" s="396" t="str">
        <f>VLOOKUP($X17,mintahelyek!$AN$3:$BK$23,_xlfn.XMATCH(AN$3,mintahelyek!$AN$2:$BK$2,0),FALSE)</f>
        <v>-</v>
      </c>
      <c r="AO17" s="396" t="str">
        <f>VLOOKUP($X17,mintahelyek!$AN$3:$BK$23,_xlfn.XMATCH(AO$3,mintahelyek!$AN$2:$BK$2,0),FALSE)</f>
        <v>-</v>
      </c>
      <c r="AP17" s="396" t="str">
        <f>VLOOKUP($X17,mintahelyek!$AN$3:$BK$23,_xlfn.XMATCH(AP$3,mintahelyek!$AN$2:$BK$2,0),FALSE)</f>
        <v>-</v>
      </c>
      <c r="AQ17" s="396" t="str">
        <f>VLOOKUP($X17,mintahelyek!$AN$3:$BK$23,_xlfn.XMATCH(AQ$3,mintahelyek!$AN$2:$BK$2,0),FALSE)</f>
        <v>-</v>
      </c>
      <c r="AR17" s="396" t="str">
        <f>VLOOKUP($X17,mintahelyek!$AN$3:$BK$23,_xlfn.XMATCH(AR$3,mintahelyek!$AN$2:$BK$2,0),FALSE)</f>
        <v>-</v>
      </c>
      <c r="AS17" s="396" t="str">
        <f>VLOOKUP($X17,mintahelyek!$AN$3:$BK$23,_xlfn.XMATCH(AS$3,mintahelyek!$AN$2:$BK$2,0),FALSE)</f>
        <v>-</v>
      </c>
      <c r="AT17" s="397" t="str">
        <f>VLOOKUP($X17,mintahelyek!$AN$3:$BK$23,_xlfn.XMATCH(AT$3,mintahelyek!$AN$2:$BK$2,0),FALSE)</f>
        <v>-</v>
      </c>
      <c r="AU17" s="400">
        <f t="shared" si="2"/>
        <v>45324</v>
      </c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G17" s="1" t="str">
        <f t="shared" si="3"/>
        <v>13/IV</v>
      </c>
      <c r="BH17" s="69">
        <f t="shared" si="4"/>
        <v>45304</v>
      </c>
      <c r="BI17" s="70">
        <f t="shared" si="5"/>
        <v>2024</v>
      </c>
      <c r="BJ17" s="70">
        <f t="shared" si="11"/>
        <v>1</v>
      </c>
      <c r="BK17" s="70" t="str">
        <f t="shared" si="6"/>
        <v>IV</v>
      </c>
      <c r="BL17" s="71" t="str">
        <f t="shared" si="7"/>
        <v>3916 Vqhezdzow Askfua</v>
      </c>
      <c r="BM17" s="72" t="str">
        <f>'NH4'!U21</f>
        <v>0,11</v>
      </c>
      <c r="BN17" s="72" t="str">
        <f>'NO3'!U21</f>
        <v>3,24</v>
      </c>
      <c r="BO17" s="72" t="str">
        <f>'NO2'!U21</f>
        <v>0,12</v>
      </c>
      <c r="BP17" s="73" t="str">
        <f>Fe!U21</f>
        <v>0,16</v>
      </c>
      <c r="BQ17" s="73" t="str">
        <f>Mn!U21</f>
        <v>0,17</v>
      </c>
      <c r="BR17" s="72" t="str">
        <f>Cl!T21</f>
        <v>22,0</v>
      </c>
      <c r="BS17" s="72" t="str">
        <f>KOIps!T21</f>
        <v>1,30</v>
      </c>
      <c r="BT17" s="72" t="str">
        <f>ÖK!Q21</f>
        <v>144</v>
      </c>
      <c r="BU17" s="62" t="str">
        <f>ÖK!S21</f>
        <v>51,5</v>
      </c>
      <c r="BV17" s="73" t="str">
        <f>ÖK!T21</f>
        <v>31,2</v>
      </c>
      <c r="BW17" s="72" t="str">
        <f>Lúgosság!T21</f>
        <v>4,20</v>
      </c>
      <c r="BX17" s="62" t="str">
        <f>IF('pH,EC'!O21="-",'pH,EC'!O50,'pH,EC'!O21)</f>
        <v>7,26</v>
      </c>
      <c r="BY17" s="62" t="str">
        <f>IF('pH,EC'!P21="-",'pH,EC'!P50,'pH,EC'!P21)</f>
        <v>460</v>
      </c>
      <c r="BZ17" s="62" t="str">
        <f>IF('pH,EC'!Q21="-",'pH,EC'!Q50,'pH,EC'!Q21)</f>
        <v>11,2</v>
      </c>
      <c r="CA17" s="62" t="str">
        <f>'SO4'!R21</f>
        <v>107</v>
      </c>
      <c r="CB17" s="74" t="str">
        <f>IF('pH,EC'!R21="-",'pH,EC'!R50,'pH,EC'!R21)</f>
        <v>0,34</v>
      </c>
      <c r="CC17" s="74" t="str">
        <f>TEMP!B19</f>
        <v>szintelen</v>
      </c>
      <c r="CD17" s="74" t="str">
        <f>TEMP!C19</f>
        <v>szagtalan</v>
      </c>
      <c r="CE17" s="74" t="str">
        <f>TEMP!D19</f>
        <v>iztelen</v>
      </c>
      <c r="CF17" s="62" t="str">
        <f>Lúgosság!U21</f>
        <v>256</v>
      </c>
      <c r="CJ17" s="99" t="str">
        <f t="shared" si="12"/>
        <v>7/IV</v>
      </c>
      <c r="CK17" s="100">
        <f t="shared" si="13"/>
        <v>45298</v>
      </c>
      <c r="CL17" s="101" t="str">
        <f t="shared" si="14"/>
        <v>8270 Owijzsgzrpr Rkohqy</v>
      </c>
      <c r="CM17" s="102" t="str">
        <f t="shared" si="15"/>
        <v>0,06</v>
      </c>
      <c r="CN17" s="102" t="str">
        <f t="shared" si="16"/>
        <v>1,74</v>
      </c>
      <c r="CO17" s="102" t="str">
        <f t="shared" si="17"/>
        <v>0,06</v>
      </c>
      <c r="CP17" s="102" t="str">
        <f t="shared" si="18"/>
        <v>0,08</v>
      </c>
      <c r="CQ17" s="102" t="str">
        <f t="shared" si="19"/>
        <v>0,09</v>
      </c>
      <c r="CR17" s="102" t="str">
        <f t="shared" si="20"/>
        <v>16,0</v>
      </c>
      <c r="CS17" s="103" t="str">
        <f t="shared" si="21"/>
        <v>0,70</v>
      </c>
      <c r="CT17" s="102" t="str">
        <f t="shared" si="22"/>
        <v>132</v>
      </c>
      <c r="CU17" s="102" t="str">
        <f t="shared" si="23"/>
        <v>47,2</v>
      </c>
      <c r="CV17" s="102" t="str">
        <f t="shared" si="24"/>
        <v>28,6</v>
      </c>
      <c r="CW17" s="104" t="str">
        <f t="shared" si="25"/>
        <v>3,60</v>
      </c>
      <c r="CX17" s="104" t="str">
        <f t="shared" si="26"/>
        <v>220</v>
      </c>
      <c r="CY17" s="104" t="str">
        <f t="shared" si="27"/>
        <v>7,14</v>
      </c>
      <c r="CZ17" s="104" t="str">
        <f t="shared" si="28"/>
        <v>430</v>
      </c>
      <c r="DA17" s="104" t="str">
        <f t="shared" si="29"/>
        <v>10,6</v>
      </c>
      <c r="DB17" s="105" t="str">
        <f t="shared" si="30"/>
        <v>58</v>
      </c>
      <c r="DC17" s="106" t="str">
        <f t="shared" si="31"/>
        <v>0,22</v>
      </c>
      <c r="DF17" s="75" t="str">
        <f t="shared" si="8"/>
        <v>IV</v>
      </c>
      <c r="DG17" s="76">
        <f t="shared" si="9"/>
        <v>2024</v>
      </c>
      <c r="DH17" s="77" t="str">
        <f>Mn!M9</f>
        <v>-</v>
      </c>
      <c r="DI17" s="76" t="s">
        <v>148</v>
      </c>
      <c r="DJ17" s="76" t="s">
        <v>62</v>
      </c>
      <c r="DK17" s="76" t="str">
        <f>Mn!A23</f>
        <v>QC1 (0,03)</v>
      </c>
      <c r="DL17" s="386">
        <v>0.03</v>
      </c>
      <c r="DM17" s="76">
        <f>Mn!G23</f>
        <v>0.22645700000000002</v>
      </c>
      <c r="DN17" s="76">
        <f>Mn!H23</f>
        <v>754.9</v>
      </c>
      <c r="DO17" s="78" t="s">
        <v>44</v>
      </c>
      <c r="DQ17" s="60" t="s">
        <v>129</v>
      </c>
      <c r="DR17" s="60" t="s">
        <v>186</v>
      </c>
      <c r="DS17" s="62" t="s">
        <v>60</v>
      </c>
      <c r="DT17" s="61" t="s">
        <v>44</v>
      </c>
      <c r="DU17" s="61" t="s">
        <v>61</v>
      </c>
      <c r="DV17" s="62" t="s">
        <v>56</v>
      </c>
      <c r="DW17" s="108" t="s">
        <v>269</v>
      </c>
      <c r="DX17" s="62">
        <v>87</v>
      </c>
      <c r="DY17" s="98" t="s">
        <v>194</v>
      </c>
      <c r="DZ17" s="98">
        <v>22</v>
      </c>
      <c r="EA17" s="98" t="s">
        <v>195</v>
      </c>
      <c r="EB17" s="98">
        <v>222</v>
      </c>
      <c r="EG17" s="63" t="s">
        <v>212</v>
      </c>
      <c r="EH17" s="64">
        <f>'SO4'!M9</f>
        <v>45324</v>
      </c>
      <c r="EI17" s="56"/>
      <c r="EJ17" s="56"/>
      <c r="EK17" s="56"/>
      <c r="EL17" s="56"/>
      <c r="EM17" s="56"/>
      <c r="EN17" s="56"/>
      <c r="EO17" s="56"/>
      <c r="EP17" s="56"/>
    </row>
    <row r="18" spans="1:146" ht="19.5" customHeight="1" x14ac:dyDescent="0.5">
      <c r="A18" s="2" t="s">
        <v>995</v>
      </c>
      <c r="B18" s="2">
        <v>14</v>
      </c>
      <c r="C18" s="37" t="str">
        <f>IFERROR(VLOOKUP($A18,mintahelyek!$Y$4:$AJ$98,12,FALSE),"-")</f>
        <v>IV</v>
      </c>
      <c r="D18" s="65" t="str">
        <f t="shared" si="0"/>
        <v>14/IV</v>
      </c>
      <c r="E18" s="36">
        <f t="shared" si="10"/>
        <v>45305</v>
      </c>
      <c r="F18" s="37" t="str">
        <f>IFERROR(VLOOKUP($A18,mintahelyek!$Y$4:$AJ$98,2,FALSE),"-")</f>
        <v>1730 Gpgmafj Mcsjny</v>
      </c>
      <c r="G18" s="31" t="str">
        <f>IFERROR(VLOOKUP($A18,mintahelyek!$Y$4:$AJ$98,3,FALSE),"-")</f>
        <v>Hweeda</v>
      </c>
      <c r="H18" s="37" t="str">
        <f>IFERROR(VLOOKUP($A18,mintahelyek!$Y$4:$AJ$98,4,FALSE),"-")</f>
        <v>Mcsjny</v>
      </c>
      <c r="I18" s="37" t="str">
        <f>IFERROR(VLOOKUP($A18,mintahelyek!$Y$4:$AJ$98,5,FALSE),"-")</f>
        <v>KUT</v>
      </c>
      <c r="J18" s="66">
        <f>IFERROR(VLOOKUP($A18,mintahelyek!$Y$4:$AJ$98,6,FALSE),"-")</f>
        <v>20511827</v>
      </c>
      <c r="K18" s="1" t="str">
        <f>IFERROR(VLOOKUP(J18,mintahelyek!$C$3:$D$4,2,FALSE),"-")</f>
        <v>AQUA Szolgáltató Korlátolt Felelősségű Társaság</v>
      </c>
      <c r="L18" s="66" t="str">
        <f>IFERROR(VLOOKUP($A18,mintahelyek!$Y$4:$AJ$98,7,FALSE),"-")</f>
        <v>U</v>
      </c>
      <c r="M18" s="37">
        <f>IFERROR(VLOOKUP($A18,mintahelyek!$Y$4:$AJ$98,8,FALSE),"-")</f>
        <v>21889495</v>
      </c>
      <c r="N18" s="1" t="str">
        <f>IFERROR(VLOOKUP(M18,mintahelyek!$H$3:$J$7,2,FALSE),"-")</f>
        <v>NAH-1-1650/2019</v>
      </c>
      <c r="O18" s="67" t="str">
        <f>IFERROR(VLOOKUP(M18,mintahelyek!$H$3:$J$7,3,FALSE),"-")</f>
        <v>Aqua Szolgáltató Kft. Vizsgáló-laboratórium</v>
      </c>
      <c r="P18" s="19" t="str">
        <f>IFERROR(VLOOKUP($A18,mintahelyek!$Y$4:$AJ$98,9,FALSE),"-")</f>
        <v>TERV</v>
      </c>
      <c r="Q18" s="19" t="str">
        <f>IFERROR(VLOOKUP($A18,mintahelyek!$Y$4:$AJ$98,10,FALSE),"-")</f>
        <v>-</v>
      </c>
      <c r="R18" s="67">
        <f>IFERROR(VLOOKUP($A18,mintahelyek!$Y$4:$AJ$98,11,FALSE),"-")</f>
        <v>7607563553</v>
      </c>
      <c r="S18" s="17" t="s">
        <v>277</v>
      </c>
      <c r="T18" s="38">
        <v>21889495</v>
      </c>
      <c r="U18" s="67" t="str">
        <f>IFERROR(VLOOKUP(T18,mintahelyek!$T$3:$V$9,2,FALSE),"-")</f>
        <v>NAH-1-1650/2019</v>
      </c>
      <c r="V18" s="67" t="str">
        <f>IFERROR(VLOOKUP(T18,mintahelyek!$T$3:$V$9,3,FALSE),"-")</f>
        <v>Aqua Szolgáltató Kft. Vizsgáló-laboratórium</v>
      </c>
      <c r="W18" s="68" t="str">
        <f t="shared" si="1"/>
        <v>14/IV-Mcsjny</v>
      </c>
      <c r="X18" s="17" t="s">
        <v>44</v>
      </c>
      <c r="Y18" s="396" t="str">
        <f>VLOOKUP($X18,mintahelyek!$AN$3:$BK$23,_xlfn.XMATCH(Y$3,mintahelyek!$AN$2:$BK$2,0),FALSE)</f>
        <v>-</v>
      </c>
      <c r="Z18" s="396" t="str">
        <f>VLOOKUP($X18,mintahelyek!$AN$3:$BK$23,_xlfn.XMATCH(Z$3,mintahelyek!$AN$2:$BK$2,0),FALSE)</f>
        <v>-</v>
      </c>
      <c r="AA18" s="396" t="str">
        <f>VLOOKUP($X18,mintahelyek!$AN$3:$BK$23,_xlfn.XMATCH(AA$3,mintahelyek!$AN$2:$BK$2,0),FALSE)</f>
        <v>-</v>
      </c>
      <c r="AB18" s="396" t="str">
        <f>VLOOKUP($X18,mintahelyek!$AN$3:$BK$23,_xlfn.XMATCH(AB$3,mintahelyek!$AN$2:$BK$2,0),FALSE)</f>
        <v>-</v>
      </c>
      <c r="AC18" s="396" t="str">
        <f>VLOOKUP($X18,mintahelyek!$AN$3:$BK$23,_xlfn.XMATCH(AC$3,mintahelyek!$AN$2:$BK$2,0),FALSE)</f>
        <v>-</v>
      </c>
      <c r="AD18" s="396" t="str">
        <f>VLOOKUP($X18,mintahelyek!$AN$3:$BK$23,_xlfn.XMATCH(AD$3,mintahelyek!$AN$2:$BK$2,0),FALSE)</f>
        <v>-</v>
      </c>
      <c r="AE18" s="396" t="str">
        <f>VLOOKUP($X18,mintahelyek!$AN$3:$BK$23,_xlfn.XMATCH(AE$3,mintahelyek!$AN$2:$BK$2,0),FALSE)</f>
        <v>-</v>
      </c>
      <c r="AF18" s="396" t="str">
        <f>VLOOKUP($X18,mintahelyek!$AN$3:$BK$23,_xlfn.XMATCH(AF$3,mintahelyek!$AN$2:$BK$2,0),FALSE)</f>
        <v>-</v>
      </c>
      <c r="AG18" s="396" t="str">
        <f>VLOOKUP($X18,mintahelyek!$AN$3:$BK$23,_xlfn.XMATCH(AG$3,mintahelyek!$AN$2:$BK$2,0),FALSE)</f>
        <v>-</v>
      </c>
      <c r="AH18" s="396" t="str">
        <f>VLOOKUP($X18,mintahelyek!$AN$3:$BK$23,_xlfn.XMATCH(AH$3,mintahelyek!$AN$2:$BK$2,0),FALSE)</f>
        <v>-</v>
      </c>
      <c r="AI18" s="396" t="str">
        <f>VLOOKUP($X18,mintahelyek!$AN$3:$BK$23,_xlfn.XMATCH(AI$3,mintahelyek!$AN$2:$BK$2,0),FALSE)</f>
        <v>-</v>
      </c>
      <c r="AJ18" s="396" t="str">
        <f>VLOOKUP($X18,mintahelyek!$AN$3:$BK$23,_xlfn.XMATCH(AJ$3,mintahelyek!$AN$2:$BK$2,0),FALSE)</f>
        <v>-</v>
      </c>
      <c r="AK18" s="396" t="str">
        <f>VLOOKUP($X18,mintahelyek!$AN$3:$BK$23,_xlfn.XMATCH(AK$3,mintahelyek!$AN$2:$BK$2,0),FALSE)</f>
        <v>-</v>
      </c>
      <c r="AL18" s="396" t="str">
        <f>VLOOKUP($X18,mintahelyek!$AN$3:$BK$23,_xlfn.XMATCH(AL$3,mintahelyek!$AN$2:$BK$2,0),FALSE)</f>
        <v>-</v>
      </c>
      <c r="AM18" s="396" t="str">
        <f>VLOOKUP($X18,mintahelyek!$AN$3:$BK$23,_xlfn.XMATCH(AM$3,mintahelyek!$AN$2:$BK$2,0),FALSE)</f>
        <v>-</v>
      </c>
      <c r="AN18" s="396" t="str">
        <f>VLOOKUP($X18,mintahelyek!$AN$3:$BK$23,_xlfn.XMATCH(AN$3,mintahelyek!$AN$2:$BK$2,0),FALSE)</f>
        <v>-</v>
      </c>
      <c r="AO18" s="396" t="str">
        <f>VLOOKUP($X18,mintahelyek!$AN$3:$BK$23,_xlfn.XMATCH(AO$3,mintahelyek!$AN$2:$BK$2,0),FALSE)</f>
        <v>-</v>
      </c>
      <c r="AP18" s="396" t="str">
        <f>VLOOKUP($X18,mintahelyek!$AN$3:$BK$23,_xlfn.XMATCH(AP$3,mintahelyek!$AN$2:$BK$2,0),FALSE)</f>
        <v>-</v>
      </c>
      <c r="AQ18" s="396" t="str">
        <f>VLOOKUP($X18,mintahelyek!$AN$3:$BK$23,_xlfn.XMATCH(AQ$3,mintahelyek!$AN$2:$BK$2,0),FALSE)</f>
        <v>-</v>
      </c>
      <c r="AR18" s="396" t="str">
        <f>VLOOKUP($X18,mintahelyek!$AN$3:$BK$23,_xlfn.XMATCH(AR$3,mintahelyek!$AN$2:$BK$2,0),FALSE)</f>
        <v>-</v>
      </c>
      <c r="AS18" s="396" t="str">
        <f>VLOOKUP($X18,mintahelyek!$AN$3:$BK$23,_xlfn.XMATCH(AS$3,mintahelyek!$AN$2:$BK$2,0),FALSE)</f>
        <v>-</v>
      </c>
      <c r="AT18" s="397" t="str">
        <f>VLOOKUP($X18,mintahelyek!$AN$3:$BK$23,_xlfn.XMATCH(AT$3,mintahelyek!$AN$2:$BK$2,0),FALSE)</f>
        <v>-</v>
      </c>
      <c r="AU18" s="400">
        <f t="shared" si="2"/>
        <v>45324</v>
      </c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G18" s="1" t="str">
        <f t="shared" si="3"/>
        <v>14/IV</v>
      </c>
      <c r="BH18" s="69">
        <f t="shared" si="4"/>
        <v>45305</v>
      </c>
      <c r="BI18" s="70">
        <f t="shared" si="5"/>
        <v>2024</v>
      </c>
      <c r="BJ18" s="70">
        <f t="shared" si="11"/>
        <v>1</v>
      </c>
      <c r="BK18" s="70" t="str">
        <f t="shared" si="6"/>
        <v>IV</v>
      </c>
      <c r="BL18" s="71" t="str">
        <f t="shared" si="7"/>
        <v>1730 Gpgmafj Mcsjny</v>
      </c>
      <c r="BM18" s="72" t="str">
        <f>'NH4'!U22</f>
        <v>0,11</v>
      </c>
      <c r="BN18" s="72" t="str">
        <f>'NO3'!U22</f>
        <v>3,49</v>
      </c>
      <c r="BO18" s="72" t="str">
        <f>'NO2'!U22</f>
        <v>0,13</v>
      </c>
      <c r="BP18" s="73" t="str">
        <f>Fe!U22</f>
        <v>0,17</v>
      </c>
      <c r="BQ18" s="73" t="str">
        <f>Mn!U22</f>
        <v>0,19</v>
      </c>
      <c r="BR18" s="72" t="str">
        <f>Cl!T22</f>
        <v>23,0</v>
      </c>
      <c r="BS18" s="72" t="str">
        <f>KOIps!T22</f>
        <v>1,40</v>
      </c>
      <c r="BT18" s="72" t="str">
        <f>ÖK!Q22</f>
        <v>146</v>
      </c>
      <c r="BU18" s="62" t="str">
        <f>ÖK!S22</f>
        <v>52,2</v>
      </c>
      <c r="BV18" s="73" t="str">
        <f>ÖK!T22</f>
        <v>31,6</v>
      </c>
      <c r="BW18" s="72" t="str">
        <f>Lúgosság!T22</f>
        <v>4,30</v>
      </c>
      <c r="BX18" s="62" t="str">
        <f>IF('pH,EC'!O22="-",'pH,EC'!O51,'pH,EC'!O22)</f>
        <v>7,28</v>
      </c>
      <c r="BY18" s="62" t="str">
        <f>IF('pH,EC'!P22="-",'pH,EC'!P51,'pH,EC'!P22)</f>
        <v>465</v>
      </c>
      <c r="BZ18" s="62" t="str">
        <f>IF('pH,EC'!Q22="-",'pH,EC'!Q51,'pH,EC'!Q22)</f>
        <v>11,3</v>
      </c>
      <c r="CA18" s="62" t="str">
        <f>'SO4'!R22</f>
        <v>115</v>
      </c>
      <c r="CB18" s="74" t="str">
        <f>IF('pH,EC'!R22="-",'pH,EC'!R51,'pH,EC'!R22)</f>
        <v>0,36</v>
      </c>
      <c r="CC18" s="74" t="str">
        <f>TEMP!B20</f>
        <v>szintelen</v>
      </c>
      <c r="CD18" s="74" t="str">
        <f>TEMP!C20</f>
        <v>szagtalan</v>
      </c>
      <c r="CE18" s="74" t="str">
        <f>TEMP!D20</f>
        <v>iztelen</v>
      </c>
      <c r="CF18" s="62" t="str">
        <f>Lúgosság!U22</f>
        <v>262</v>
      </c>
      <c r="CJ18" s="99" t="str">
        <f t="shared" si="12"/>
        <v>8/IV</v>
      </c>
      <c r="CK18" s="100">
        <f t="shared" si="13"/>
        <v>45299</v>
      </c>
      <c r="CL18" s="101" t="str">
        <f t="shared" si="14"/>
        <v>2991 Jjdjhsp Vxhhmc</v>
      </c>
      <c r="CM18" s="102" t="str">
        <f t="shared" si="15"/>
        <v>0,06</v>
      </c>
      <c r="CN18" s="102" t="str">
        <f t="shared" si="16"/>
        <v>1,99</v>
      </c>
      <c r="CO18" s="102" t="str">
        <f t="shared" si="17"/>
        <v>0,07</v>
      </c>
      <c r="CP18" s="102" t="str">
        <f t="shared" si="18"/>
        <v>0,10</v>
      </c>
      <c r="CQ18" s="102" t="str">
        <f t="shared" si="19"/>
        <v>0,11</v>
      </c>
      <c r="CR18" s="102" t="str">
        <f t="shared" si="20"/>
        <v>17,0</v>
      </c>
      <c r="CS18" s="103" t="str">
        <f t="shared" si="21"/>
        <v>0,80</v>
      </c>
      <c r="CT18" s="102" t="str">
        <f t="shared" si="22"/>
        <v>134</v>
      </c>
      <c r="CU18" s="102" t="str">
        <f t="shared" si="23"/>
        <v>47,9</v>
      </c>
      <c r="CV18" s="102" t="str">
        <f t="shared" si="24"/>
        <v>29,0</v>
      </c>
      <c r="CW18" s="104" t="str">
        <f t="shared" si="25"/>
        <v>3,70</v>
      </c>
      <c r="CX18" s="104" t="str">
        <f t="shared" si="26"/>
        <v>226</v>
      </c>
      <c r="CY18" s="104" t="str">
        <f t="shared" si="27"/>
        <v>7,16</v>
      </c>
      <c r="CZ18" s="104" t="str">
        <f t="shared" si="28"/>
        <v>435</v>
      </c>
      <c r="DA18" s="104" t="str">
        <f t="shared" si="29"/>
        <v>10,7</v>
      </c>
      <c r="DB18" s="105" t="str">
        <f t="shared" si="30"/>
        <v>66</v>
      </c>
      <c r="DC18" s="106" t="str">
        <f t="shared" si="31"/>
        <v>0,24</v>
      </c>
      <c r="DF18" s="79" t="str">
        <f t="shared" si="8"/>
        <v>IV</v>
      </c>
      <c r="DG18" s="71">
        <f t="shared" si="9"/>
        <v>2024</v>
      </c>
      <c r="DH18" s="80" t="str">
        <f>Mn!M9</f>
        <v>-</v>
      </c>
      <c r="DI18" s="71" t="s">
        <v>148</v>
      </c>
      <c r="DJ18" s="71" t="s">
        <v>62</v>
      </c>
      <c r="DK18" s="71" t="str">
        <f>Mn!A24</f>
        <v>QC2 (0,1)</v>
      </c>
      <c r="DL18" s="387">
        <v>0.1</v>
      </c>
      <c r="DM18" s="71">
        <f>Mn!G24</f>
        <v>0.23977800000000005</v>
      </c>
      <c r="DN18" s="71">
        <f>Mn!H24</f>
        <v>239.8</v>
      </c>
      <c r="DO18" s="81" t="s">
        <v>44</v>
      </c>
      <c r="DQ18" s="60" t="s">
        <v>129</v>
      </c>
      <c r="DR18" s="60" t="s">
        <v>187</v>
      </c>
      <c r="DS18" s="62" t="s">
        <v>60</v>
      </c>
      <c r="DT18" s="61" t="s">
        <v>44</v>
      </c>
      <c r="DU18" s="61" t="s">
        <v>189</v>
      </c>
      <c r="DV18" s="62" t="s">
        <v>56</v>
      </c>
      <c r="DW18" s="62" t="s">
        <v>173</v>
      </c>
      <c r="DX18" s="62">
        <v>35</v>
      </c>
      <c r="DY18" s="98" t="s">
        <v>196</v>
      </c>
      <c r="DZ18" s="98">
        <v>23</v>
      </c>
      <c r="EA18" s="98" t="s">
        <v>197</v>
      </c>
      <c r="EB18" s="98">
        <v>223</v>
      </c>
    </row>
    <row r="19" spans="1:146" ht="19.5" customHeight="1" thickBot="1" x14ac:dyDescent="0.55000000000000004">
      <c r="A19" s="2" t="s">
        <v>996</v>
      </c>
      <c r="B19" s="206">
        <v>15</v>
      </c>
      <c r="C19" s="37" t="str">
        <f>IFERROR(VLOOKUP($A19,mintahelyek!$Y$4:$AJ$98,12,FALSE),"-")</f>
        <v>IV</v>
      </c>
      <c r="D19" s="65" t="str">
        <f t="shared" si="0"/>
        <v>15/IV</v>
      </c>
      <c r="E19" s="36">
        <f t="shared" si="10"/>
        <v>45306</v>
      </c>
      <c r="F19" s="37" t="str">
        <f>IFERROR(VLOOKUP($A19,mintahelyek!$Y$4:$AJ$98,2,FALSE),"-")</f>
        <v>2993 Yhabayh Rskdom</v>
      </c>
      <c r="G19" s="31" t="str">
        <f>IFERROR(VLOOKUP($A19,mintahelyek!$Y$4:$AJ$98,3,FALSE),"-")</f>
        <v>Hweeda</v>
      </c>
      <c r="H19" s="37" t="str">
        <f>IFERROR(VLOOKUP($A19,mintahelyek!$Y$4:$AJ$98,4,FALSE),"-")</f>
        <v>Rskdom</v>
      </c>
      <c r="I19" s="37" t="str">
        <f>IFERROR(VLOOKUP($A19,mintahelyek!$Y$4:$AJ$98,5,FALSE),"-")</f>
        <v>KUT</v>
      </c>
      <c r="J19" s="66">
        <f>IFERROR(VLOOKUP($A19,mintahelyek!$Y$4:$AJ$98,6,FALSE),"-")</f>
        <v>20511827</v>
      </c>
      <c r="K19" s="1" t="str">
        <f>IFERROR(VLOOKUP(J19,mintahelyek!$C$3:$D$4,2,FALSE),"-")</f>
        <v>AQUA Szolgáltató Korlátolt Felelősségű Társaság</v>
      </c>
      <c r="L19" s="66" t="str">
        <f>IFERROR(VLOOKUP($A19,mintahelyek!$Y$4:$AJ$98,7,FALSE),"-")</f>
        <v>U</v>
      </c>
      <c r="M19" s="37">
        <f>IFERROR(VLOOKUP($A19,mintahelyek!$Y$4:$AJ$98,8,FALSE),"-")</f>
        <v>21889495</v>
      </c>
      <c r="N19" s="1" t="str">
        <f>IFERROR(VLOOKUP(M19,mintahelyek!$H$3:$J$7,2,FALSE),"-")</f>
        <v>NAH-1-1650/2019</v>
      </c>
      <c r="O19" s="67" t="str">
        <f>IFERROR(VLOOKUP(M19,mintahelyek!$H$3:$J$7,3,FALSE),"-")</f>
        <v>Aqua Szolgáltató Kft. Vizsgáló-laboratórium</v>
      </c>
      <c r="P19" s="19" t="str">
        <f>IFERROR(VLOOKUP($A19,mintahelyek!$Y$4:$AJ$98,9,FALSE),"-")</f>
        <v>TERV</v>
      </c>
      <c r="Q19" s="19" t="str">
        <f>IFERROR(VLOOKUP($A19,mintahelyek!$Y$4:$AJ$98,10,FALSE),"-")</f>
        <v>-</v>
      </c>
      <c r="R19" s="67">
        <f>IFERROR(VLOOKUP($A19,mintahelyek!$Y$4:$AJ$98,11,FALSE),"-")</f>
        <v>3381935529</v>
      </c>
      <c r="S19" s="17" t="s">
        <v>315</v>
      </c>
      <c r="T19" s="38" t="s">
        <v>316</v>
      </c>
      <c r="U19" s="67" t="str">
        <f>IFERROR(VLOOKUP(T19,mintahelyek!$T$3:$V$9,2,FALSE),"-")</f>
        <v>na</v>
      </c>
      <c r="V19" s="67" t="str">
        <f>IFERROR(VLOOKUP(T19,mintahelyek!$T$3:$V$9,3,FALSE),"-")</f>
        <v>Megrendelő</v>
      </c>
      <c r="W19" s="68" t="str">
        <f t="shared" si="1"/>
        <v>15/IV-Rskdom</v>
      </c>
      <c r="X19" s="17" t="s">
        <v>44</v>
      </c>
      <c r="Y19" s="396" t="str">
        <f>VLOOKUP($X19,mintahelyek!$AN$3:$BK$23,_xlfn.XMATCH(Y$3,mintahelyek!$AN$2:$BK$2,0),FALSE)</f>
        <v>-</v>
      </c>
      <c r="Z19" s="396" t="str">
        <f>VLOOKUP($X19,mintahelyek!$AN$3:$BK$23,_xlfn.XMATCH(Z$3,mintahelyek!$AN$2:$BK$2,0),FALSE)</f>
        <v>-</v>
      </c>
      <c r="AA19" s="396" t="str">
        <f>VLOOKUP($X19,mintahelyek!$AN$3:$BK$23,_xlfn.XMATCH(AA$3,mintahelyek!$AN$2:$BK$2,0),FALSE)</f>
        <v>-</v>
      </c>
      <c r="AB19" s="396" t="str">
        <f>VLOOKUP($X19,mintahelyek!$AN$3:$BK$23,_xlfn.XMATCH(AB$3,mintahelyek!$AN$2:$BK$2,0),FALSE)</f>
        <v>-</v>
      </c>
      <c r="AC19" s="396" t="str">
        <f>VLOOKUP($X19,mintahelyek!$AN$3:$BK$23,_xlfn.XMATCH(AC$3,mintahelyek!$AN$2:$BK$2,0),FALSE)</f>
        <v>-</v>
      </c>
      <c r="AD19" s="396" t="str">
        <f>VLOOKUP($X19,mintahelyek!$AN$3:$BK$23,_xlfn.XMATCH(AD$3,mintahelyek!$AN$2:$BK$2,0),FALSE)</f>
        <v>-</v>
      </c>
      <c r="AE19" s="396" t="str">
        <f>VLOOKUP($X19,mintahelyek!$AN$3:$BK$23,_xlfn.XMATCH(AE$3,mintahelyek!$AN$2:$BK$2,0),FALSE)</f>
        <v>-</v>
      </c>
      <c r="AF19" s="396" t="str">
        <f>VLOOKUP($X19,mintahelyek!$AN$3:$BK$23,_xlfn.XMATCH(AF$3,mintahelyek!$AN$2:$BK$2,0),FALSE)</f>
        <v>-</v>
      </c>
      <c r="AG19" s="396" t="str">
        <f>VLOOKUP($X19,mintahelyek!$AN$3:$BK$23,_xlfn.XMATCH(AG$3,mintahelyek!$AN$2:$BK$2,0),FALSE)</f>
        <v>-</v>
      </c>
      <c r="AH19" s="396" t="str">
        <f>VLOOKUP($X19,mintahelyek!$AN$3:$BK$23,_xlfn.XMATCH(AH$3,mintahelyek!$AN$2:$BK$2,0),FALSE)</f>
        <v>-</v>
      </c>
      <c r="AI19" s="396" t="str">
        <f>VLOOKUP($X19,mintahelyek!$AN$3:$BK$23,_xlfn.XMATCH(AI$3,mintahelyek!$AN$2:$BK$2,0),FALSE)</f>
        <v>-</v>
      </c>
      <c r="AJ19" s="396" t="str">
        <f>VLOOKUP($X19,mintahelyek!$AN$3:$BK$23,_xlfn.XMATCH(AJ$3,mintahelyek!$AN$2:$BK$2,0),FALSE)</f>
        <v>-</v>
      </c>
      <c r="AK19" s="396" t="str">
        <f>VLOOKUP($X19,mintahelyek!$AN$3:$BK$23,_xlfn.XMATCH(AK$3,mintahelyek!$AN$2:$BK$2,0),FALSE)</f>
        <v>-</v>
      </c>
      <c r="AL19" s="396" t="str">
        <f>VLOOKUP($X19,mintahelyek!$AN$3:$BK$23,_xlfn.XMATCH(AL$3,mintahelyek!$AN$2:$BK$2,0),FALSE)</f>
        <v>-</v>
      </c>
      <c r="AM19" s="396" t="str">
        <f>VLOOKUP($X19,mintahelyek!$AN$3:$BK$23,_xlfn.XMATCH(AM$3,mintahelyek!$AN$2:$BK$2,0),FALSE)</f>
        <v>-</v>
      </c>
      <c r="AN19" s="396" t="str">
        <f>VLOOKUP($X19,mintahelyek!$AN$3:$BK$23,_xlfn.XMATCH(AN$3,mintahelyek!$AN$2:$BK$2,0),FALSE)</f>
        <v>-</v>
      </c>
      <c r="AO19" s="396" t="str">
        <f>VLOOKUP($X19,mintahelyek!$AN$3:$BK$23,_xlfn.XMATCH(AO$3,mintahelyek!$AN$2:$BK$2,0),FALSE)</f>
        <v>-</v>
      </c>
      <c r="AP19" s="396" t="str">
        <f>VLOOKUP($X19,mintahelyek!$AN$3:$BK$23,_xlfn.XMATCH(AP$3,mintahelyek!$AN$2:$BK$2,0),FALSE)</f>
        <v>-</v>
      </c>
      <c r="AQ19" s="396" t="str">
        <f>VLOOKUP($X19,mintahelyek!$AN$3:$BK$23,_xlfn.XMATCH(AQ$3,mintahelyek!$AN$2:$BK$2,0),FALSE)</f>
        <v>-</v>
      </c>
      <c r="AR19" s="396" t="str">
        <f>VLOOKUP($X19,mintahelyek!$AN$3:$BK$23,_xlfn.XMATCH(AR$3,mintahelyek!$AN$2:$BK$2,0),FALSE)</f>
        <v>-</v>
      </c>
      <c r="AS19" s="396" t="str">
        <f>VLOOKUP($X19,mintahelyek!$AN$3:$BK$23,_xlfn.XMATCH(AS$3,mintahelyek!$AN$2:$BK$2,0),FALSE)</f>
        <v>-</v>
      </c>
      <c r="AT19" s="397" t="str">
        <f>VLOOKUP($X19,mintahelyek!$AN$3:$BK$23,_xlfn.XMATCH(AT$3,mintahelyek!$AN$2:$BK$2,0),FALSE)</f>
        <v>-</v>
      </c>
      <c r="AU19" s="400">
        <f t="shared" si="2"/>
        <v>45324</v>
      </c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G19" s="1" t="str">
        <f t="shared" si="3"/>
        <v>15/IV</v>
      </c>
      <c r="BH19" s="69">
        <f t="shared" si="4"/>
        <v>45306</v>
      </c>
      <c r="BI19" s="70">
        <f t="shared" si="5"/>
        <v>2024</v>
      </c>
      <c r="BJ19" s="70">
        <f t="shared" si="11"/>
        <v>1</v>
      </c>
      <c r="BK19" s="70" t="str">
        <f t="shared" si="6"/>
        <v>IV</v>
      </c>
      <c r="BL19" s="71" t="str">
        <f t="shared" si="7"/>
        <v>2993 Yhabayh Rskdom</v>
      </c>
      <c r="BM19" s="72" t="str">
        <f>'NH4'!U23</f>
        <v>0,12</v>
      </c>
      <c r="BN19" s="72" t="str">
        <f>'NO3'!U23</f>
        <v>3,74</v>
      </c>
      <c r="BO19" s="72" t="str">
        <f>'NO2'!U23</f>
        <v>0,14</v>
      </c>
      <c r="BP19" s="73" t="str">
        <f>Fe!U23</f>
        <v>0,18</v>
      </c>
      <c r="BQ19" s="73" t="str">
        <f>Mn!U23</f>
        <v>0,20</v>
      </c>
      <c r="BR19" s="72" t="str">
        <f>Cl!T23</f>
        <v>24,0</v>
      </c>
      <c r="BS19" s="72" t="str">
        <f>KOIps!T23</f>
        <v>1,50</v>
      </c>
      <c r="BT19" s="72" t="str">
        <f>ÖK!Q23</f>
        <v>148</v>
      </c>
      <c r="BU19" s="62" t="str">
        <f>ÖK!S23</f>
        <v>52,9</v>
      </c>
      <c r="BV19" s="73" t="str">
        <f>ÖK!T23</f>
        <v>32,1</v>
      </c>
      <c r="BW19" s="72" t="str">
        <f>Lúgosság!T23</f>
        <v>4,40</v>
      </c>
      <c r="BX19" s="62" t="str">
        <f>IF('pH,EC'!O23="-",'pH,EC'!O52,'pH,EC'!O23)</f>
        <v>7,30</v>
      </c>
      <c r="BY19" s="62" t="str">
        <f>IF('pH,EC'!P23="-",'pH,EC'!P52,'pH,EC'!P23)</f>
        <v>470</v>
      </c>
      <c r="BZ19" s="62" t="str">
        <f>IF('pH,EC'!Q23="-",'pH,EC'!Q52,'pH,EC'!Q23)</f>
        <v>11,4</v>
      </c>
      <c r="CA19" s="62" t="str">
        <f>'SO4'!R23</f>
        <v>123</v>
      </c>
      <c r="CB19" s="74" t="str">
        <f>IF('pH,EC'!R23="-",'pH,EC'!R52,'pH,EC'!R23)</f>
        <v>0,38</v>
      </c>
      <c r="CC19" s="74" t="str">
        <f>TEMP!B21</f>
        <v>szintelen</v>
      </c>
      <c r="CD19" s="74" t="str">
        <f>TEMP!C21</f>
        <v>szagtalan</v>
      </c>
      <c r="CE19" s="74" t="str">
        <f>TEMP!D21</f>
        <v>iztelen</v>
      </c>
      <c r="CF19" s="62" t="str">
        <f>Lúgosság!U23</f>
        <v>268</v>
      </c>
      <c r="CJ19" s="99" t="str">
        <f t="shared" si="12"/>
        <v>9/IV</v>
      </c>
      <c r="CK19" s="100">
        <f t="shared" si="13"/>
        <v>45300</v>
      </c>
      <c r="CL19" s="101" t="str">
        <f t="shared" si="14"/>
        <v>8018 Mankscvx Msdxtl</v>
      </c>
      <c r="CM19" s="102" t="str">
        <f t="shared" si="15"/>
        <v>0,07</v>
      </c>
      <c r="CN19" s="102" t="str">
        <f t="shared" si="16"/>
        <v>2,24</v>
      </c>
      <c r="CO19" s="102" t="str">
        <f t="shared" si="17"/>
        <v>0,08</v>
      </c>
      <c r="CP19" s="102" t="str">
        <f t="shared" si="18"/>
        <v>0,11</v>
      </c>
      <c r="CQ19" s="102" t="str">
        <f t="shared" si="19"/>
        <v>0,12</v>
      </c>
      <c r="CR19" s="102" t="str">
        <f t="shared" si="20"/>
        <v>18,0</v>
      </c>
      <c r="CS19" s="103" t="str">
        <f t="shared" si="21"/>
        <v>0,90</v>
      </c>
      <c r="CT19" s="102" t="str">
        <f t="shared" si="22"/>
        <v>136</v>
      </c>
      <c r="CU19" s="102" t="str">
        <f t="shared" si="23"/>
        <v>48,6</v>
      </c>
      <c r="CV19" s="102" t="str">
        <f t="shared" si="24"/>
        <v>29,5</v>
      </c>
      <c r="CW19" s="104" t="str">
        <f t="shared" si="25"/>
        <v>3,80</v>
      </c>
      <c r="CX19" s="104" t="str">
        <f t="shared" si="26"/>
        <v>232</v>
      </c>
      <c r="CY19" s="104" t="str">
        <f t="shared" si="27"/>
        <v>7,18</v>
      </c>
      <c r="CZ19" s="104" t="str">
        <f t="shared" si="28"/>
        <v>440</v>
      </c>
      <c r="DA19" s="104" t="str">
        <f t="shared" si="29"/>
        <v>10,8</v>
      </c>
      <c r="DB19" s="105" t="str">
        <f t="shared" si="30"/>
        <v>74</v>
      </c>
      <c r="DC19" s="106" t="str">
        <f t="shared" si="31"/>
        <v>0,26</v>
      </c>
      <c r="DF19" s="83" t="str">
        <f t="shared" si="8"/>
        <v>IV</v>
      </c>
      <c r="DG19" s="84">
        <f t="shared" si="9"/>
        <v>2024</v>
      </c>
      <c r="DH19" s="85" t="str">
        <f>Mn!M9</f>
        <v>-</v>
      </c>
      <c r="DI19" s="84" t="s">
        <v>148</v>
      </c>
      <c r="DJ19" s="84" t="s">
        <v>81</v>
      </c>
      <c r="DK19" s="84" t="s">
        <v>80</v>
      </c>
      <c r="DL19" s="388" t="s">
        <v>44</v>
      </c>
      <c r="DM19" s="84">
        <f>Mn!B7</f>
        <v>0</v>
      </c>
      <c r="DN19" s="84" t="s">
        <v>44</v>
      </c>
      <c r="DO19" s="86" t="s">
        <v>44</v>
      </c>
      <c r="DQ19" s="60" t="s">
        <v>129</v>
      </c>
      <c r="DR19" s="60" t="s">
        <v>188</v>
      </c>
      <c r="DS19" s="62" t="s">
        <v>60</v>
      </c>
      <c r="DT19" s="61" t="s">
        <v>44</v>
      </c>
      <c r="DU19" s="61" t="s">
        <v>189</v>
      </c>
      <c r="DV19" s="62" t="s">
        <v>56</v>
      </c>
      <c r="DW19" s="62" t="s">
        <v>173</v>
      </c>
      <c r="DX19" s="98">
        <v>16.3</v>
      </c>
      <c r="DY19" s="98" t="s">
        <v>198</v>
      </c>
      <c r="DZ19" s="98">
        <v>24</v>
      </c>
      <c r="EA19" s="98" t="s">
        <v>199</v>
      </c>
      <c r="EB19" s="98">
        <v>224</v>
      </c>
    </row>
    <row r="20" spans="1:146" ht="19.5" customHeight="1" x14ac:dyDescent="0.5">
      <c r="A20" s="2" t="s">
        <v>997</v>
      </c>
      <c r="B20" s="2">
        <v>16</v>
      </c>
      <c r="C20" s="37" t="str">
        <f>IFERROR(VLOOKUP($A20,mintahelyek!$Y$4:$AJ$98,12,FALSE),"-")</f>
        <v>IV</v>
      </c>
      <c r="D20" s="65" t="str">
        <f t="shared" si="0"/>
        <v>16/IV</v>
      </c>
      <c r="E20" s="36">
        <f t="shared" si="10"/>
        <v>45307</v>
      </c>
      <c r="F20" s="37" t="str">
        <f>IFERROR(VLOOKUP($A20,mintahelyek!$Y$4:$AJ$98,2,FALSE),"-")</f>
        <v>4856 Qbuvuiydc Jyhjzbmb</v>
      </c>
      <c r="G20" s="31" t="str">
        <f>IFERROR(VLOOKUP($A20,mintahelyek!$Y$4:$AJ$98,3,FALSE),"-")</f>
        <v>Hweeda</v>
      </c>
      <c r="H20" s="37" t="str">
        <f>IFERROR(VLOOKUP($A20,mintahelyek!$Y$4:$AJ$98,4,FALSE),"-")</f>
        <v>Jyhjzbmb</v>
      </c>
      <c r="I20" s="37" t="str">
        <f>IFERROR(VLOOKUP($A20,mintahelyek!$Y$4:$AJ$98,5,FALSE),"-")</f>
        <v>KUT</v>
      </c>
      <c r="J20" s="66">
        <f>IFERROR(VLOOKUP($A20,mintahelyek!$Y$4:$AJ$98,6,FALSE),"-")</f>
        <v>20511827</v>
      </c>
      <c r="K20" s="1" t="str">
        <f>IFERROR(VLOOKUP(J20,mintahelyek!$C$3:$D$4,2,FALSE),"-")</f>
        <v>AQUA Szolgáltató Korlátolt Felelősségű Társaság</v>
      </c>
      <c r="L20" s="66" t="str">
        <f>IFERROR(VLOOKUP($A20,mintahelyek!$Y$4:$AJ$98,7,FALSE),"-")</f>
        <v>U</v>
      </c>
      <c r="M20" s="37">
        <f>IFERROR(VLOOKUP($A20,mintahelyek!$Y$4:$AJ$98,8,FALSE),"-")</f>
        <v>21889495</v>
      </c>
      <c r="N20" s="1" t="str">
        <f>IFERROR(VLOOKUP(M20,mintahelyek!$H$3:$J$7,2,FALSE),"-")</f>
        <v>NAH-1-1650/2019</v>
      </c>
      <c r="O20" s="67" t="str">
        <f>IFERROR(VLOOKUP(M20,mintahelyek!$H$3:$J$7,3,FALSE),"-")</f>
        <v>Aqua Szolgáltató Kft. Vizsgáló-laboratórium</v>
      </c>
      <c r="P20" s="19" t="str">
        <f>IFERROR(VLOOKUP($A20,mintahelyek!$Y$4:$AJ$98,9,FALSE),"-")</f>
        <v>TERV</v>
      </c>
      <c r="Q20" s="19" t="str">
        <f>IFERROR(VLOOKUP($A20,mintahelyek!$Y$4:$AJ$98,10,FALSE),"-")</f>
        <v>-</v>
      </c>
      <c r="R20" s="67">
        <f>IFERROR(VLOOKUP($A20,mintahelyek!$Y$4:$AJ$98,11,FALSE),"-")</f>
        <v>7916342868</v>
      </c>
      <c r="S20" s="17" t="s">
        <v>60</v>
      </c>
      <c r="T20" s="38" t="s">
        <v>60</v>
      </c>
      <c r="U20" s="67" t="str">
        <f>IFERROR(VLOOKUP(T20,mintahelyek!$T$3:$V$9,2,FALSE),"-")</f>
        <v>na</v>
      </c>
      <c r="V20" s="67" t="str">
        <f>IFERROR(VLOOKUP(T20,mintahelyek!$T$3:$V$9,3,FALSE),"-")</f>
        <v>ismeretlen</v>
      </c>
      <c r="W20" s="68" t="str">
        <f t="shared" si="1"/>
        <v>16/IV-Jyhjzbmb</v>
      </c>
      <c r="X20" s="17" t="s">
        <v>44</v>
      </c>
      <c r="Y20" s="396" t="str">
        <f>VLOOKUP($X20,mintahelyek!$AN$3:$BK$23,_xlfn.XMATCH(Y$3,mintahelyek!$AN$2:$BK$2,0),FALSE)</f>
        <v>-</v>
      </c>
      <c r="Z20" s="396" t="str">
        <f>VLOOKUP($X20,mintahelyek!$AN$3:$BK$23,_xlfn.XMATCH(Z$3,mintahelyek!$AN$2:$BK$2,0),FALSE)</f>
        <v>-</v>
      </c>
      <c r="AA20" s="396" t="str">
        <f>VLOOKUP($X20,mintahelyek!$AN$3:$BK$23,_xlfn.XMATCH(AA$3,mintahelyek!$AN$2:$BK$2,0),FALSE)</f>
        <v>-</v>
      </c>
      <c r="AB20" s="396" t="str">
        <f>VLOOKUP($X20,mintahelyek!$AN$3:$BK$23,_xlfn.XMATCH(AB$3,mintahelyek!$AN$2:$BK$2,0),FALSE)</f>
        <v>-</v>
      </c>
      <c r="AC20" s="396" t="str">
        <f>VLOOKUP($X20,mintahelyek!$AN$3:$BK$23,_xlfn.XMATCH(AC$3,mintahelyek!$AN$2:$BK$2,0),FALSE)</f>
        <v>-</v>
      </c>
      <c r="AD20" s="396" t="str">
        <f>VLOOKUP($X20,mintahelyek!$AN$3:$BK$23,_xlfn.XMATCH(AD$3,mintahelyek!$AN$2:$BK$2,0),FALSE)</f>
        <v>-</v>
      </c>
      <c r="AE20" s="396" t="str">
        <f>VLOOKUP($X20,mintahelyek!$AN$3:$BK$23,_xlfn.XMATCH(AE$3,mintahelyek!$AN$2:$BK$2,0),FALSE)</f>
        <v>-</v>
      </c>
      <c r="AF20" s="396" t="str">
        <f>VLOOKUP($X20,mintahelyek!$AN$3:$BK$23,_xlfn.XMATCH(AF$3,mintahelyek!$AN$2:$BK$2,0),FALSE)</f>
        <v>-</v>
      </c>
      <c r="AG20" s="396" t="str">
        <f>VLOOKUP($X20,mintahelyek!$AN$3:$BK$23,_xlfn.XMATCH(AG$3,mintahelyek!$AN$2:$BK$2,0),FALSE)</f>
        <v>-</v>
      </c>
      <c r="AH20" s="396" t="str">
        <f>VLOOKUP($X20,mintahelyek!$AN$3:$BK$23,_xlfn.XMATCH(AH$3,mintahelyek!$AN$2:$BK$2,0),FALSE)</f>
        <v>-</v>
      </c>
      <c r="AI20" s="396" t="str">
        <f>VLOOKUP($X20,mintahelyek!$AN$3:$BK$23,_xlfn.XMATCH(AI$3,mintahelyek!$AN$2:$BK$2,0),FALSE)</f>
        <v>-</v>
      </c>
      <c r="AJ20" s="396" t="str">
        <f>VLOOKUP($X20,mintahelyek!$AN$3:$BK$23,_xlfn.XMATCH(AJ$3,mintahelyek!$AN$2:$BK$2,0),FALSE)</f>
        <v>-</v>
      </c>
      <c r="AK20" s="396" t="str">
        <f>VLOOKUP($X20,mintahelyek!$AN$3:$BK$23,_xlfn.XMATCH(AK$3,mintahelyek!$AN$2:$BK$2,0),FALSE)</f>
        <v>-</v>
      </c>
      <c r="AL20" s="396" t="str">
        <f>VLOOKUP($X20,mintahelyek!$AN$3:$BK$23,_xlfn.XMATCH(AL$3,mintahelyek!$AN$2:$BK$2,0),FALSE)</f>
        <v>-</v>
      </c>
      <c r="AM20" s="396" t="str">
        <f>VLOOKUP($X20,mintahelyek!$AN$3:$BK$23,_xlfn.XMATCH(AM$3,mintahelyek!$AN$2:$BK$2,0),FALSE)</f>
        <v>-</v>
      </c>
      <c r="AN20" s="396" t="str">
        <f>VLOOKUP($X20,mintahelyek!$AN$3:$BK$23,_xlfn.XMATCH(AN$3,mintahelyek!$AN$2:$BK$2,0),FALSE)</f>
        <v>-</v>
      </c>
      <c r="AO20" s="396" t="str">
        <f>VLOOKUP($X20,mintahelyek!$AN$3:$BK$23,_xlfn.XMATCH(AO$3,mintahelyek!$AN$2:$BK$2,0),FALSE)</f>
        <v>-</v>
      </c>
      <c r="AP20" s="396" t="str">
        <f>VLOOKUP($X20,mintahelyek!$AN$3:$BK$23,_xlfn.XMATCH(AP$3,mintahelyek!$AN$2:$BK$2,0),FALSE)</f>
        <v>-</v>
      </c>
      <c r="AQ20" s="396" t="str">
        <f>VLOOKUP($X20,mintahelyek!$AN$3:$BK$23,_xlfn.XMATCH(AQ$3,mintahelyek!$AN$2:$BK$2,0),FALSE)</f>
        <v>-</v>
      </c>
      <c r="AR20" s="396" t="str">
        <f>VLOOKUP($X20,mintahelyek!$AN$3:$BK$23,_xlfn.XMATCH(AR$3,mintahelyek!$AN$2:$BK$2,0),FALSE)</f>
        <v>-</v>
      </c>
      <c r="AS20" s="396" t="str">
        <f>VLOOKUP($X20,mintahelyek!$AN$3:$BK$23,_xlfn.XMATCH(AS$3,mintahelyek!$AN$2:$BK$2,0),FALSE)</f>
        <v>-</v>
      </c>
      <c r="AT20" s="397" t="str">
        <f>VLOOKUP($X20,mintahelyek!$AN$3:$BK$23,_xlfn.XMATCH(AT$3,mintahelyek!$AN$2:$BK$2,0),FALSE)</f>
        <v>-</v>
      </c>
      <c r="AU20" s="400">
        <f t="shared" si="2"/>
        <v>45324</v>
      </c>
      <c r="AV20" s="51"/>
      <c r="AW20" s="51"/>
      <c r="AX20" s="51"/>
      <c r="AY20" s="51"/>
      <c r="AZ20" s="51"/>
      <c r="BA20" s="51"/>
      <c r="BB20" s="51"/>
      <c r="BC20" s="51"/>
      <c r="BD20" s="51"/>
      <c r="BE20" s="51"/>
      <c r="BG20" s="1" t="str">
        <f t="shared" si="3"/>
        <v>16/IV</v>
      </c>
      <c r="BH20" s="69">
        <f t="shared" si="4"/>
        <v>45307</v>
      </c>
      <c r="BI20" s="70">
        <f t="shared" si="5"/>
        <v>2024</v>
      </c>
      <c r="BJ20" s="70">
        <f t="shared" si="11"/>
        <v>1</v>
      </c>
      <c r="BK20" s="70" t="str">
        <f t="shared" si="6"/>
        <v>IV</v>
      </c>
      <c r="BL20" s="71" t="str">
        <f t="shared" si="7"/>
        <v>4856 Qbuvuiydc Jyhjzbmb</v>
      </c>
      <c r="BM20" s="72" t="str">
        <f>'NH4'!U24</f>
        <v>0,13</v>
      </c>
      <c r="BN20" s="72" t="str">
        <f>'NO3'!U24</f>
        <v>3,98</v>
      </c>
      <c r="BO20" s="72" t="str">
        <f>'NO2'!U24</f>
        <v>0,15</v>
      </c>
      <c r="BP20" s="73" t="str">
        <f>Fe!U24</f>
        <v>0,19</v>
      </c>
      <c r="BQ20" s="73" t="str">
        <f>Mn!U24</f>
        <v>0,21</v>
      </c>
      <c r="BR20" s="72" t="str">
        <f>Cl!T24</f>
        <v>25,0</v>
      </c>
      <c r="BS20" s="72" t="str">
        <f>KOIps!T24</f>
        <v>1,60</v>
      </c>
      <c r="BT20" s="72" t="str">
        <f>ÖK!Q24</f>
        <v>150</v>
      </c>
      <c r="BU20" s="62" t="str">
        <f>ÖK!S24</f>
        <v>53,6</v>
      </c>
      <c r="BV20" s="73" t="str">
        <f>ÖK!T24</f>
        <v>32,5</v>
      </c>
      <c r="BW20" s="72" t="str">
        <f>Lúgosság!T24</f>
        <v>4,50</v>
      </c>
      <c r="BX20" s="62" t="str">
        <f>IF('pH,EC'!O24="-",'pH,EC'!O53,'pH,EC'!O24)</f>
        <v>7,32</v>
      </c>
      <c r="BY20" s="62" t="str">
        <f>IF('pH,EC'!P24="-",'pH,EC'!P53,'pH,EC'!P24)</f>
        <v>475</v>
      </c>
      <c r="BZ20" s="62" t="str">
        <f>IF('pH,EC'!Q24="-",'pH,EC'!Q53,'pH,EC'!Q24)</f>
        <v>11,5</v>
      </c>
      <c r="CA20" s="62" t="str">
        <f>'SO4'!R24</f>
        <v>132</v>
      </c>
      <c r="CB20" s="74" t="str">
        <f>IF('pH,EC'!R24="-",'pH,EC'!R53,'pH,EC'!R24)</f>
        <v>0,40</v>
      </c>
      <c r="CC20" s="74" t="str">
        <f>TEMP!B22</f>
        <v>szintelen</v>
      </c>
      <c r="CD20" s="74" t="str">
        <f>TEMP!C22</f>
        <v>szagtalan</v>
      </c>
      <c r="CE20" s="74" t="str">
        <f>TEMP!D22</f>
        <v>iztelen</v>
      </c>
      <c r="CF20" s="62" t="str">
        <f>Lúgosság!U24</f>
        <v>275</v>
      </c>
      <c r="CJ20" s="99" t="str">
        <f t="shared" si="12"/>
        <v>10/IV</v>
      </c>
      <c r="CK20" s="100">
        <f t="shared" si="13"/>
        <v>45301</v>
      </c>
      <c r="CL20" s="101" t="str">
        <f t="shared" si="14"/>
        <v>7065 Hwcflmoijro Qoldnt</v>
      </c>
      <c r="CM20" s="102" t="str">
        <f t="shared" si="15"/>
        <v>0,08</v>
      </c>
      <c r="CN20" s="102" t="str">
        <f t="shared" si="16"/>
        <v>2,49</v>
      </c>
      <c r="CO20" s="102" t="str">
        <f t="shared" si="17"/>
        <v>0,09</v>
      </c>
      <c r="CP20" s="102" t="str">
        <f t="shared" si="18"/>
        <v>0,12</v>
      </c>
      <c r="CQ20" s="102" t="str">
        <f t="shared" si="19"/>
        <v>0,13</v>
      </c>
      <c r="CR20" s="102" t="str">
        <f t="shared" si="20"/>
        <v>19,0</v>
      </c>
      <c r="CS20" s="103" t="str">
        <f t="shared" si="21"/>
        <v>1,00</v>
      </c>
      <c r="CT20" s="102" t="str">
        <f t="shared" si="22"/>
        <v>138</v>
      </c>
      <c r="CU20" s="102" t="str">
        <f t="shared" si="23"/>
        <v>49,3</v>
      </c>
      <c r="CV20" s="102" t="str">
        <f t="shared" si="24"/>
        <v>29,9</v>
      </c>
      <c r="CW20" s="104" t="str">
        <f t="shared" si="25"/>
        <v>3,90</v>
      </c>
      <c r="CX20" s="104" t="str">
        <f t="shared" si="26"/>
        <v>238</v>
      </c>
      <c r="CY20" s="104" t="str">
        <f t="shared" si="27"/>
        <v>7,20</v>
      </c>
      <c r="CZ20" s="104" t="str">
        <f t="shared" si="28"/>
        <v>445</v>
      </c>
      <c r="DA20" s="104" t="str">
        <f t="shared" si="29"/>
        <v>10,9</v>
      </c>
      <c r="DB20" s="105" t="str">
        <f t="shared" si="30"/>
        <v>82</v>
      </c>
      <c r="DC20" s="106" t="str">
        <f t="shared" si="31"/>
        <v>0,28</v>
      </c>
      <c r="DF20" s="109" t="str">
        <f t="shared" si="8"/>
        <v>IV</v>
      </c>
      <c r="DG20" s="110">
        <f t="shared" si="9"/>
        <v>2024</v>
      </c>
      <c r="DH20" s="111" t="str">
        <f>'pH,EC'!M9</f>
        <v>-</v>
      </c>
      <c r="DI20" s="110" t="s">
        <v>18</v>
      </c>
      <c r="DJ20" s="110" t="s">
        <v>94</v>
      </c>
      <c r="DK20" s="110" t="s">
        <v>96</v>
      </c>
      <c r="DL20" s="389" t="s">
        <v>44</v>
      </c>
      <c r="DM20" s="110" t="str">
        <f>'pH,EC'!B28</f>
        <v>-</v>
      </c>
      <c r="DN20" s="110" t="s">
        <v>44</v>
      </c>
      <c r="DO20" s="112" t="s">
        <v>44</v>
      </c>
      <c r="DQ20" s="60" t="s">
        <v>129</v>
      </c>
      <c r="DR20" s="60" t="s">
        <v>212</v>
      </c>
      <c r="DS20" s="62" t="s">
        <v>60</v>
      </c>
      <c r="DT20" s="61">
        <v>100</v>
      </c>
      <c r="DU20" s="61">
        <v>5</v>
      </c>
      <c r="DV20" s="62">
        <v>0</v>
      </c>
      <c r="DW20" s="62" t="s">
        <v>160</v>
      </c>
      <c r="DX20" s="62">
        <v>20</v>
      </c>
      <c r="DY20" s="98" t="s">
        <v>44</v>
      </c>
      <c r="DZ20" s="98" t="s">
        <v>44</v>
      </c>
      <c r="EA20" s="98" t="s">
        <v>44</v>
      </c>
      <c r="EB20" s="98" t="s">
        <v>44</v>
      </c>
    </row>
    <row r="21" spans="1:146" ht="19.5" customHeight="1" x14ac:dyDescent="0.5">
      <c r="Y21" s="51"/>
      <c r="BM21" s="113"/>
      <c r="BN21" s="113"/>
      <c r="CJ21" s="99" t="str">
        <f t="shared" si="12"/>
        <v>11/IV</v>
      </c>
      <c r="CK21" s="100">
        <f t="shared" si="13"/>
        <v>45302</v>
      </c>
      <c r="CL21" s="101" t="str">
        <f t="shared" si="14"/>
        <v>7136 Uovbwbhi Qnvptf</v>
      </c>
      <c r="CM21" s="102" t="str">
        <f t="shared" si="15"/>
        <v>0,09</v>
      </c>
      <c r="CN21" s="102" t="str">
        <f t="shared" si="16"/>
        <v>2,74</v>
      </c>
      <c r="CO21" s="102" t="str">
        <f t="shared" si="17"/>
        <v>0,10</v>
      </c>
      <c r="CP21" s="102" t="str">
        <f t="shared" si="18"/>
        <v>0,13</v>
      </c>
      <c r="CQ21" s="102" t="str">
        <f t="shared" si="19"/>
        <v>0,15</v>
      </c>
      <c r="CR21" s="102" t="str">
        <f t="shared" si="20"/>
        <v>20,0</v>
      </c>
      <c r="CS21" s="103" t="str">
        <f t="shared" si="21"/>
        <v>1,10</v>
      </c>
      <c r="CT21" s="102" t="str">
        <f t="shared" si="22"/>
        <v>140</v>
      </c>
      <c r="CU21" s="102" t="str">
        <f t="shared" si="23"/>
        <v>50,0</v>
      </c>
      <c r="CV21" s="102" t="str">
        <f t="shared" si="24"/>
        <v>30,3</v>
      </c>
      <c r="CW21" s="104" t="str">
        <f t="shared" si="25"/>
        <v>4,00</v>
      </c>
      <c r="CX21" s="104" t="str">
        <f t="shared" si="26"/>
        <v>244</v>
      </c>
      <c r="CY21" s="104" t="str">
        <f t="shared" si="27"/>
        <v>7,22</v>
      </c>
      <c r="CZ21" s="104" t="str">
        <f t="shared" si="28"/>
        <v>450</v>
      </c>
      <c r="DA21" s="104" t="str">
        <f t="shared" si="29"/>
        <v>11,0</v>
      </c>
      <c r="DB21" s="105" t="str">
        <f t="shared" si="30"/>
        <v>91</v>
      </c>
      <c r="DC21" s="106" t="str">
        <f t="shared" si="31"/>
        <v>0,30</v>
      </c>
      <c r="DF21" s="114" t="str">
        <f t="shared" si="8"/>
        <v>IV</v>
      </c>
      <c r="DG21" s="1">
        <f t="shared" si="9"/>
        <v>2024</v>
      </c>
      <c r="DH21" s="69" t="str">
        <f>'pH,EC'!M9</f>
        <v>-</v>
      </c>
      <c r="DI21" s="1" t="s">
        <v>18</v>
      </c>
      <c r="DJ21" s="1" t="s">
        <v>95</v>
      </c>
      <c r="DK21" s="1" t="s">
        <v>97</v>
      </c>
      <c r="DL21" s="18" t="s">
        <v>44</v>
      </c>
      <c r="DM21" s="1" t="str">
        <f>'pH,EC'!B29</f>
        <v>-</v>
      </c>
      <c r="DN21" s="1" t="s">
        <v>44</v>
      </c>
      <c r="DO21" s="115" t="s">
        <v>44</v>
      </c>
    </row>
    <row r="22" spans="1:146" ht="19.5" customHeight="1" thickBot="1" x14ac:dyDescent="0.55000000000000004">
      <c r="BG22" s="113"/>
      <c r="BM22" s="113"/>
      <c r="BN22" s="113"/>
      <c r="BO22" s="113"/>
      <c r="BP22" s="113"/>
      <c r="BQ22" s="113"/>
      <c r="BR22" s="113"/>
      <c r="CJ22" s="99" t="str">
        <f t="shared" si="12"/>
        <v>12/IV</v>
      </c>
      <c r="CK22" s="100">
        <f t="shared" si="13"/>
        <v>45303</v>
      </c>
      <c r="CL22" s="101" t="str">
        <f t="shared" si="14"/>
        <v>3176 Swsvfdsfv Lebdoq</v>
      </c>
      <c r="CM22" s="102" t="str">
        <f t="shared" si="15"/>
        <v>0,10</v>
      </c>
      <c r="CN22" s="102" t="str">
        <f t="shared" si="16"/>
        <v>2,99</v>
      </c>
      <c r="CO22" s="102" t="str">
        <f t="shared" si="17"/>
        <v>0,11</v>
      </c>
      <c r="CP22" s="102" t="str">
        <f t="shared" si="18"/>
        <v>0,15</v>
      </c>
      <c r="CQ22" s="102" t="str">
        <f t="shared" si="19"/>
        <v>0,16</v>
      </c>
      <c r="CR22" s="102" t="str">
        <f t="shared" si="20"/>
        <v>21,0</v>
      </c>
      <c r="CS22" s="103" t="str">
        <f t="shared" si="21"/>
        <v>1,20</v>
      </c>
      <c r="CT22" s="102" t="str">
        <f t="shared" si="22"/>
        <v>142</v>
      </c>
      <c r="CU22" s="102" t="str">
        <f t="shared" si="23"/>
        <v>50,7</v>
      </c>
      <c r="CV22" s="102" t="str">
        <f t="shared" si="24"/>
        <v>30,8</v>
      </c>
      <c r="CW22" s="104" t="str">
        <f t="shared" si="25"/>
        <v>4,10</v>
      </c>
      <c r="CX22" s="104" t="str">
        <f t="shared" si="26"/>
        <v>250</v>
      </c>
      <c r="CY22" s="104" t="str">
        <f t="shared" si="27"/>
        <v>7,24</v>
      </c>
      <c r="CZ22" s="104" t="str">
        <f t="shared" si="28"/>
        <v>455</v>
      </c>
      <c r="DA22" s="104" t="str">
        <f t="shared" si="29"/>
        <v>11,1</v>
      </c>
      <c r="DB22" s="105" t="str">
        <f t="shared" si="30"/>
        <v>99</v>
      </c>
      <c r="DC22" s="106" t="str">
        <f t="shared" si="31"/>
        <v>0,32</v>
      </c>
      <c r="DF22" s="116" t="str">
        <f t="shared" si="8"/>
        <v>IV</v>
      </c>
      <c r="DG22" s="117">
        <f t="shared" si="9"/>
        <v>2024</v>
      </c>
      <c r="DH22" s="118" t="str">
        <f>'pH,EC'!M9</f>
        <v>-</v>
      </c>
      <c r="DI22" s="117" t="s">
        <v>18</v>
      </c>
      <c r="DJ22" s="117" t="s">
        <v>18</v>
      </c>
      <c r="DK22" s="117" t="str">
        <f>'pH,EC'!A23</f>
        <v>QC2 (7,00)</v>
      </c>
      <c r="DL22" s="390">
        <v>7</v>
      </c>
      <c r="DM22" s="117" t="str">
        <f>'pH,EC'!C23</f>
        <v>-</v>
      </c>
      <c r="DN22" s="117" t="s">
        <v>44</v>
      </c>
      <c r="DO22" s="119" t="e">
        <f>'pH,EC'!G23</f>
        <v>#VALUE!</v>
      </c>
    </row>
    <row r="23" spans="1:146" ht="19.5" customHeight="1" x14ac:dyDescent="0.5">
      <c r="B23" s="5" t="s">
        <v>271</v>
      </c>
      <c r="C23" s="5"/>
      <c r="BF23" s="113"/>
      <c r="BG23" s="113"/>
      <c r="BM23" s="113"/>
      <c r="BN23" s="113"/>
      <c r="BO23" s="113"/>
      <c r="BP23" s="113"/>
      <c r="BQ23" s="113"/>
      <c r="BR23" s="113"/>
      <c r="CJ23" s="99" t="str">
        <f t="shared" si="12"/>
        <v>13/IV</v>
      </c>
      <c r="CK23" s="100">
        <f t="shared" si="13"/>
        <v>45304</v>
      </c>
      <c r="CL23" s="101" t="str">
        <f t="shared" si="14"/>
        <v>3916 Vqhezdzow Askfua</v>
      </c>
      <c r="CM23" s="102" t="str">
        <f t="shared" si="15"/>
        <v>0,11</v>
      </c>
      <c r="CN23" s="102" t="str">
        <f t="shared" si="16"/>
        <v>3,24</v>
      </c>
      <c r="CO23" s="102" t="str">
        <f t="shared" si="17"/>
        <v>0,12</v>
      </c>
      <c r="CP23" s="102" t="str">
        <f t="shared" si="18"/>
        <v>0,16</v>
      </c>
      <c r="CQ23" s="102" t="str">
        <f t="shared" si="19"/>
        <v>0,17</v>
      </c>
      <c r="CR23" s="102" t="str">
        <f t="shared" si="20"/>
        <v>22,0</v>
      </c>
      <c r="CS23" s="103" t="str">
        <f t="shared" si="21"/>
        <v>1,30</v>
      </c>
      <c r="CT23" s="102" t="str">
        <f t="shared" si="22"/>
        <v>144</v>
      </c>
      <c r="CU23" s="102" t="str">
        <f t="shared" si="23"/>
        <v>51,5</v>
      </c>
      <c r="CV23" s="102" t="str">
        <f t="shared" si="24"/>
        <v>31,2</v>
      </c>
      <c r="CW23" s="104" t="str">
        <f t="shared" si="25"/>
        <v>4,20</v>
      </c>
      <c r="CX23" s="104" t="str">
        <f t="shared" si="26"/>
        <v>256</v>
      </c>
      <c r="CY23" s="104" t="str">
        <f t="shared" si="27"/>
        <v>7,26</v>
      </c>
      <c r="CZ23" s="104" t="str">
        <f t="shared" si="28"/>
        <v>460</v>
      </c>
      <c r="DA23" s="104" t="str">
        <f t="shared" si="29"/>
        <v>11,2</v>
      </c>
      <c r="DB23" s="105" t="str">
        <f t="shared" si="30"/>
        <v>107</v>
      </c>
      <c r="DC23" s="106" t="str">
        <f t="shared" si="31"/>
        <v>0,34</v>
      </c>
      <c r="DF23" s="120" t="str">
        <f t="shared" si="8"/>
        <v>IV</v>
      </c>
      <c r="DG23" s="121">
        <f t="shared" si="9"/>
        <v>2024</v>
      </c>
      <c r="DH23" s="122" t="str">
        <f>'pH,EC'!M38</f>
        <v>-</v>
      </c>
      <c r="DI23" s="121" t="s">
        <v>18</v>
      </c>
      <c r="DJ23" s="121" t="s">
        <v>94</v>
      </c>
      <c r="DK23" s="121" t="s">
        <v>96</v>
      </c>
      <c r="DL23" s="391" t="s">
        <v>44</v>
      </c>
      <c r="DM23" s="121" t="str">
        <f>'pH,EC'!B58</f>
        <v>-</v>
      </c>
      <c r="DN23" s="121" t="s">
        <v>44</v>
      </c>
      <c r="DO23" s="123" t="s">
        <v>44</v>
      </c>
    </row>
    <row r="24" spans="1:146" ht="19.5" customHeight="1" x14ac:dyDescent="0.5">
      <c r="B24" s="5">
        <v>45</v>
      </c>
      <c r="C24" s="5"/>
      <c r="BF24" s="113"/>
      <c r="BG24" s="113"/>
      <c r="BM24" s="113"/>
      <c r="BN24" s="113"/>
      <c r="BO24" s="113"/>
      <c r="BP24" s="113"/>
      <c r="BQ24" s="113"/>
      <c r="BR24" s="113"/>
      <c r="CJ24" s="99" t="str">
        <f t="shared" si="12"/>
        <v>14/IV</v>
      </c>
      <c r="CK24" s="100">
        <f t="shared" si="13"/>
        <v>45305</v>
      </c>
      <c r="CL24" s="101" t="str">
        <f t="shared" si="14"/>
        <v>1730 Gpgmafj Mcsjny</v>
      </c>
      <c r="CM24" s="102" t="str">
        <f t="shared" si="15"/>
        <v>0,11</v>
      </c>
      <c r="CN24" s="102" t="str">
        <f t="shared" si="16"/>
        <v>3,49</v>
      </c>
      <c r="CO24" s="102" t="str">
        <f t="shared" si="17"/>
        <v>0,13</v>
      </c>
      <c r="CP24" s="102" t="str">
        <f t="shared" si="18"/>
        <v>0,17</v>
      </c>
      <c r="CQ24" s="102" t="str">
        <f t="shared" si="19"/>
        <v>0,19</v>
      </c>
      <c r="CR24" s="102" t="str">
        <f t="shared" si="20"/>
        <v>23,0</v>
      </c>
      <c r="CS24" s="103" t="str">
        <f t="shared" si="21"/>
        <v>1,40</v>
      </c>
      <c r="CT24" s="102" t="str">
        <f t="shared" si="22"/>
        <v>146</v>
      </c>
      <c r="CU24" s="102" t="str">
        <f t="shared" si="23"/>
        <v>52,2</v>
      </c>
      <c r="CV24" s="102" t="str">
        <f t="shared" si="24"/>
        <v>31,6</v>
      </c>
      <c r="CW24" s="104" t="str">
        <f t="shared" si="25"/>
        <v>4,30</v>
      </c>
      <c r="CX24" s="104" t="str">
        <f t="shared" si="26"/>
        <v>262</v>
      </c>
      <c r="CY24" s="104" t="str">
        <f t="shared" si="27"/>
        <v>7,28</v>
      </c>
      <c r="CZ24" s="104" t="str">
        <f t="shared" si="28"/>
        <v>465</v>
      </c>
      <c r="DA24" s="104" t="str">
        <f t="shared" si="29"/>
        <v>11,3</v>
      </c>
      <c r="DB24" s="105" t="str">
        <f t="shared" si="30"/>
        <v>115</v>
      </c>
      <c r="DC24" s="106" t="str">
        <f t="shared" si="31"/>
        <v>0,36</v>
      </c>
      <c r="DF24" s="124" t="str">
        <f t="shared" si="8"/>
        <v>IV</v>
      </c>
      <c r="DG24" s="7">
        <f t="shared" si="9"/>
        <v>2024</v>
      </c>
      <c r="DH24" s="125" t="str">
        <f>'pH,EC'!M38</f>
        <v>-</v>
      </c>
      <c r="DI24" s="7" t="s">
        <v>18</v>
      </c>
      <c r="DJ24" s="7" t="s">
        <v>95</v>
      </c>
      <c r="DK24" s="7" t="s">
        <v>97</v>
      </c>
      <c r="DL24" s="392" t="s">
        <v>44</v>
      </c>
      <c r="DM24" s="7" t="str">
        <f>'pH,EC'!B59</f>
        <v>-</v>
      </c>
      <c r="DN24" s="7" t="s">
        <v>44</v>
      </c>
      <c r="DO24" s="126" t="s">
        <v>44</v>
      </c>
    </row>
    <row r="25" spans="1:146" ht="19.5" customHeight="1" thickBot="1" x14ac:dyDescent="0.55000000000000004">
      <c r="B25" s="5" t="s">
        <v>272</v>
      </c>
      <c r="C25" s="5"/>
      <c r="BG25" s="113"/>
      <c r="BM25" s="113"/>
      <c r="BN25" s="113"/>
      <c r="BO25" s="113"/>
      <c r="BP25" s="113"/>
      <c r="BQ25" s="113"/>
      <c r="BR25" s="113"/>
      <c r="CJ25" s="99" t="str">
        <f t="shared" si="12"/>
        <v>15/IV</v>
      </c>
      <c r="CK25" s="100">
        <f t="shared" si="13"/>
        <v>45306</v>
      </c>
      <c r="CL25" s="101" t="str">
        <f t="shared" si="14"/>
        <v>2993 Yhabayh Rskdom</v>
      </c>
      <c r="CM25" s="102" t="str">
        <f t="shared" si="15"/>
        <v>0,12</v>
      </c>
      <c r="CN25" s="102" t="str">
        <f t="shared" si="16"/>
        <v>3,74</v>
      </c>
      <c r="CO25" s="102" t="str">
        <f t="shared" si="17"/>
        <v>0,14</v>
      </c>
      <c r="CP25" s="102" t="str">
        <f t="shared" si="18"/>
        <v>0,18</v>
      </c>
      <c r="CQ25" s="102" t="str">
        <f t="shared" si="19"/>
        <v>0,20</v>
      </c>
      <c r="CR25" s="102" t="str">
        <f t="shared" si="20"/>
        <v>24,0</v>
      </c>
      <c r="CS25" s="103" t="str">
        <f t="shared" si="21"/>
        <v>1,50</v>
      </c>
      <c r="CT25" s="102" t="str">
        <f t="shared" si="22"/>
        <v>148</v>
      </c>
      <c r="CU25" s="102" t="str">
        <f t="shared" si="23"/>
        <v>52,9</v>
      </c>
      <c r="CV25" s="102" t="str">
        <f t="shared" si="24"/>
        <v>32,1</v>
      </c>
      <c r="CW25" s="104" t="str">
        <f t="shared" si="25"/>
        <v>4,40</v>
      </c>
      <c r="CX25" s="104" t="str">
        <f t="shared" si="26"/>
        <v>268</v>
      </c>
      <c r="CY25" s="104" t="str">
        <f t="shared" si="27"/>
        <v>7,30</v>
      </c>
      <c r="CZ25" s="104" t="str">
        <f t="shared" si="28"/>
        <v>470</v>
      </c>
      <c r="DA25" s="104" t="str">
        <f t="shared" si="29"/>
        <v>11,4</v>
      </c>
      <c r="DB25" s="105" t="str">
        <f t="shared" si="30"/>
        <v>123</v>
      </c>
      <c r="DC25" s="106" t="str">
        <f t="shared" si="31"/>
        <v>0,38</v>
      </c>
      <c r="DF25" s="127" t="str">
        <f t="shared" si="8"/>
        <v>IV</v>
      </c>
      <c r="DG25" s="128">
        <f t="shared" si="9"/>
        <v>2024</v>
      </c>
      <c r="DH25" s="129" t="str">
        <f>'pH,EC'!M38</f>
        <v>-</v>
      </c>
      <c r="DI25" s="128" t="s">
        <v>18</v>
      </c>
      <c r="DJ25" s="128" t="s">
        <v>18</v>
      </c>
      <c r="DK25" s="128" t="str">
        <f>'pH,EC'!A53</f>
        <v>QC3 (10,01)</v>
      </c>
      <c r="DL25" s="393">
        <v>7</v>
      </c>
      <c r="DM25" s="128" t="str">
        <f>'pH,EC'!C53</f>
        <v>-</v>
      </c>
      <c r="DN25" s="128" t="s">
        <v>44</v>
      </c>
      <c r="DO25" s="130" t="e">
        <f>'pH,EC'!G53</f>
        <v>#VALUE!</v>
      </c>
    </row>
    <row r="26" spans="1:146" ht="19.5" customHeight="1" thickBot="1" x14ac:dyDescent="0.55000000000000004">
      <c r="B26" s="5">
        <v>72</v>
      </c>
      <c r="C26" s="5"/>
      <c r="BG26" s="113"/>
      <c r="BM26" s="113"/>
      <c r="BN26" s="113"/>
      <c r="BO26" s="113"/>
      <c r="BP26" s="113"/>
      <c r="BQ26" s="113"/>
      <c r="BR26" s="113"/>
      <c r="CJ26" s="131" t="str">
        <f t="shared" si="12"/>
        <v>16/IV</v>
      </c>
      <c r="CK26" s="132">
        <f t="shared" si="13"/>
        <v>45307</v>
      </c>
      <c r="CL26" s="133" t="str">
        <f t="shared" si="14"/>
        <v>4856 Qbuvuiydc Jyhjzbmb</v>
      </c>
      <c r="CM26" s="134" t="str">
        <f t="shared" si="15"/>
        <v>0,13</v>
      </c>
      <c r="CN26" s="134" t="str">
        <f t="shared" si="16"/>
        <v>3,98</v>
      </c>
      <c r="CO26" s="134" t="str">
        <f t="shared" si="17"/>
        <v>0,15</v>
      </c>
      <c r="CP26" s="134" t="str">
        <f t="shared" si="18"/>
        <v>0,19</v>
      </c>
      <c r="CQ26" s="134" t="str">
        <f t="shared" si="19"/>
        <v>0,21</v>
      </c>
      <c r="CR26" s="134" t="str">
        <f t="shared" si="20"/>
        <v>25,0</v>
      </c>
      <c r="CS26" s="135" t="str">
        <f t="shared" si="21"/>
        <v>1,60</v>
      </c>
      <c r="CT26" s="134" t="str">
        <f t="shared" si="22"/>
        <v>150</v>
      </c>
      <c r="CU26" s="134" t="str">
        <f t="shared" si="23"/>
        <v>53,6</v>
      </c>
      <c r="CV26" s="134" t="str">
        <f t="shared" si="24"/>
        <v>32,5</v>
      </c>
      <c r="CW26" s="136" t="str">
        <f t="shared" si="25"/>
        <v>4,50</v>
      </c>
      <c r="CX26" s="136" t="str">
        <f t="shared" si="26"/>
        <v>275</v>
      </c>
      <c r="CY26" s="136" t="str">
        <f t="shared" si="27"/>
        <v>7,32</v>
      </c>
      <c r="CZ26" s="136" t="str">
        <f t="shared" si="28"/>
        <v>475</v>
      </c>
      <c r="DA26" s="136" t="str">
        <f t="shared" si="29"/>
        <v>11,5</v>
      </c>
      <c r="DB26" s="137" t="str">
        <f t="shared" si="30"/>
        <v>132</v>
      </c>
      <c r="DC26" s="138" t="str">
        <f t="shared" si="31"/>
        <v>0,40</v>
      </c>
      <c r="DF26" s="109" t="str">
        <f t="shared" si="8"/>
        <v>IV</v>
      </c>
      <c r="DG26" s="110">
        <f t="shared" si="9"/>
        <v>2024</v>
      </c>
      <c r="DH26" s="111" t="str">
        <f>'pH,EC'!M9</f>
        <v>-</v>
      </c>
      <c r="DI26" s="110" t="s">
        <v>39</v>
      </c>
      <c r="DJ26" s="110" t="s">
        <v>102</v>
      </c>
      <c r="DK26" s="110" t="s">
        <v>104</v>
      </c>
      <c r="DL26" s="389" t="s">
        <v>44</v>
      </c>
      <c r="DM26" s="110" t="str">
        <f>'pH,EC'!D28</f>
        <v>-</v>
      </c>
      <c r="DN26" s="110" t="s">
        <v>44</v>
      </c>
      <c r="DO26" s="112" t="s">
        <v>44</v>
      </c>
    </row>
    <row r="27" spans="1:146" ht="16.149999999999999" customHeight="1" thickBot="1" x14ac:dyDescent="0.55000000000000004">
      <c r="A27" s="5" t="s">
        <v>357</v>
      </c>
      <c r="B27" s="398" t="s">
        <v>44</v>
      </c>
      <c r="BG27" s="113"/>
      <c r="BM27" s="113"/>
      <c r="BN27" s="113"/>
      <c r="BO27" s="113"/>
      <c r="BP27" s="113"/>
      <c r="BQ27" s="113"/>
      <c r="BR27" s="113"/>
      <c r="DF27" s="116" t="str">
        <f t="shared" si="8"/>
        <v>IV</v>
      </c>
      <c r="DG27" s="117">
        <f t="shared" si="9"/>
        <v>2024</v>
      </c>
      <c r="DH27" s="118" t="str">
        <f>'pH,EC'!M9</f>
        <v>-</v>
      </c>
      <c r="DI27" s="117" t="s">
        <v>39</v>
      </c>
      <c r="DJ27" s="117" t="s">
        <v>103</v>
      </c>
      <c r="DK27" s="117" t="str">
        <f>'pH,EC'!A24</f>
        <v>QC1 (1276)</v>
      </c>
      <c r="DL27" s="390">
        <v>1276</v>
      </c>
      <c r="DM27" s="117" t="str">
        <f>'pH,EC'!D24</f>
        <v>-</v>
      </c>
      <c r="DN27" s="117" t="s">
        <v>44</v>
      </c>
      <c r="DO27" s="119" t="e">
        <f>'pH,EC'!G24</f>
        <v>#VALUE!</v>
      </c>
    </row>
    <row r="28" spans="1:146" ht="16.149999999999999" customHeight="1" x14ac:dyDescent="0.5">
      <c r="A28" s="5" t="s">
        <v>273</v>
      </c>
      <c r="BG28" s="113"/>
      <c r="BM28" s="113"/>
      <c r="BN28" s="113"/>
      <c r="BO28" s="113"/>
      <c r="BP28" s="113"/>
      <c r="BQ28" s="113"/>
      <c r="BR28" s="113"/>
      <c r="CU28" s="15" t="s">
        <v>38</v>
      </c>
      <c r="DF28" s="120" t="str">
        <f t="shared" si="8"/>
        <v>IV</v>
      </c>
      <c r="DG28" s="121">
        <f t="shared" si="9"/>
        <v>2024</v>
      </c>
      <c r="DH28" s="122" t="str">
        <f>'pH,EC'!M38</f>
        <v>-</v>
      </c>
      <c r="DI28" s="121" t="s">
        <v>39</v>
      </c>
      <c r="DJ28" s="121" t="s">
        <v>102</v>
      </c>
      <c r="DK28" s="121" t="s">
        <v>104</v>
      </c>
      <c r="DL28" s="391" t="s">
        <v>44</v>
      </c>
      <c r="DM28" s="121" t="str">
        <f>'pH,EC'!D58</f>
        <v>-</v>
      </c>
      <c r="DN28" s="121" t="s">
        <v>44</v>
      </c>
      <c r="DO28" s="123" t="s">
        <v>44</v>
      </c>
    </row>
    <row r="29" spans="1:146" ht="18" customHeight="1" thickBot="1" x14ac:dyDescent="0.55000000000000004">
      <c r="BG29" s="113"/>
      <c r="BM29" s="113"/>
      <c r="BN29" s="113"/>
      <c r="BO29" s="113"/>
      <c r="BP29" s="113"/>
      <c r="BQ29" s="113"/>
      <c r="BR29" s="113"/>
      <c r="DF29" s="127" t="str">
        <f t="shared" si="8"/>
        <v>IV</v>
      </c>
      <c r="DG29" s="128">
        <f t="shared" si="9"/>
        <v>2024</v>
      </c>
      <c r="DH29" s="129" t="str">
        <f>'pH,EC'!M38</f>
        <v>-</v>
      </c>
      <c r="DI29" s="128" t="s">
        <v>39</v>
      </c>
      <c r="DJ29" s="128" t="s">
        <v>103</v>
      </c>
      <c r="DK29" s="128" t="str">
        <f>'pH,EC'!A54</f>
        <v>QC2 (132,8)</v>
      </c>
      <c r="DL29" s="393">
        <v>1276</v>
      </c>
      <c r="DM29" s="128" t="str">
        <f>'pH,EC'!D54</f>
        <v>-</v>
      </c>
      <c r="DN29" s="128" t="s">
        <v>44</v>
      </c>
      <c r="DO29" s="130" t="e">
        <f>'pH,EC'!G54</f>
        <v>#VALUE!</v>
      </c>
    </row>
    <row r="30" spans="1:146" ht="18" customHeight="1" x14ac:dyDescent="0.5">
      <c r="A30" s="464" t="s">
        <v>270</v>
      </c>
      <c r="B30" s="464"/>
      <c r="C30" s="464"/>
      <c r="D30" s="464"/>
      <c r="E30" s="464"/>
      <c r="F30" s="464"/>
      <c r="G30" s="464"/>
      <c r="H30" s="464"/>
      <c r="BG30" s="113"/>
      <c r="BM30" s="113"/>
      <c r="BN30" s="113"/>
      <c r="BO30" s="113"/>
      <c r="BP30" s="113"/>
      <c r="BQ30" s="113"/>
      <c r="BR30" s="113"/>
      <c r="DF30" s="109" t="str">
        <f t="shared" si="8"/>
        <v>IV</v>
      </c>
      <c r="DG30" s="110">
        <f t="shared" si="9"/>
        <v>2024</v>
      </c>
      <c r="DH30" s="77" t="str">
        <f>KOIps!M9</f>
        <v>-</v>
      </c>
      <c r="DI30" s="76" t="s">
        <v>113</v>
      </c>
      <c r="DJ30" s="76" t="s">
        <v>82</v>
      </c>
      <c r="DK30" s="76" t="s">
        <v>80</v>
      </c>
      <c r="DL30" s="389" t="s">
        <v>44</v>
      </c>
      <c r="DM30" s="76">
        <f>KOIps!B6</f>
        <v>0</v>
      </c>
      <c r="DN30" s="110"/>
      <c r="DO30" s="112" t="s">
        <v>44</v>
      </c>
    </row>
    <row r="31" spans="1:146" ht="18" customHeight="1" x14ac:dyDescent="0.5">
      <c r="A31" s="464"/>
      <c r="B31" s="464"/>
      <c r="C31" s="464"/>
      <c r="D31" s="464"/>
      <c r="E31" s="464"/>
      <c r="F31" s="464"/>
      <c r="G31" s="464"/>
      <c r="H31" s="464"/>
      <c r="BG31" s="113"/>
      <c r="BM31" s="113"/>
      <c r="BN31" s="113"/>
      <c r="BO31" s="113"/>
      <c r="BP31" s="113"/>
      <c r="BQ31" s="113"/>
      <c r="BR31" s="113"/>
      <c r="DF31" s="114" t="str">
        <f t="shared" si="8"/>
        <v>IV</v>
      </c>
      <c r="DG31" s="1">
        <f t="shared" si="9"/>
        <v>2024</v>
      </c>
      <c r="DH31" s="80" t="str">
        <f>KOIps!M9</f>
        <v>-</v>
      </c>
      <c r="DI31" s="71" t="s">
        <v>113</v>
      </c>
      <c r="DJ31" s="71" t="s">
        <v>82</v>
      </c>
      <c r="DK31" s="71" t="s">
        <v>83</v>
      </c>
      <c r="DL31" s="18" t="s">
        <v>44</v>
      </c>
      <c r="DM31" s="88">
        <f>KOIps!E6</f>
        <v>8</v>
      </c>
      <c r="DN31" s="1"/>
      <c r="DO31" s="115" t="s">
        <v>44</v>
      </c>
    </row>
    <row r="32" spans="1:146" ht="18" customHeight="1" x14ac:dyDescent="0.5">
      <c r="A32" s="464" t="s">
        <v>716</v>
      </c>
      <c r="B32" s="464"/>
      <c r="C32" s="464"/>
      <c r="D32" s="464"/>
      <c r="E32" s="464"/>
      <c r="F32" s="464"/>
      <c r="G32" s="464"/>
      <c r="H32" s="464"/>
      <c r="BG32" s="113"/>
      <c r="BM32" s="113"/>
      <c r="BN32" s="113"/>
      <c r="BO32" s="113"/>
      <c r="BP32" s="113"/>
      <c r="BQ32" s="113"/>
      <c r="BR32" s="113"/>
      <c r="DF32" s="114" t="str">
        <f t="shared" si="8"/>
        <v>IV</v>
      </c>
      <c r="DG32" s="1">
        <f t="shared" si="9"/>
        <v>2024</v>
      </c>
      <c r="DH32" s="80" t="str">
        <f>KOIps!M9</f>
        <v>-</v>
      </c>
      <c r="DI32" s="71" t="s">
        <v>113</v>
      </c>
      <c r="DJ32" s="71" t="s">
        <v>44</v>
      </c>
      <c r="DK32" s="71" t="s">
        <v>5</v>
      </c>
      <c r="DL32" s="18" t="s">
        <v>44</v>
      </c>
      <c r="DM32" s="71">
        <f>KOIps!G6</f>
        <v>1</v>
      </c>
      <c r="DN32" s="1"/>
      <c r="DO32" s="115" t="s">
        <v>44</v>
      </c>
    </row>
    <row r="33" spans="1:119" ht="18" customHeight="1" thickBot="1" x14ac:dyDescent="0.55000000000000004">
      <c r="A33" s="464"/>
      <c r="B33" s="464"/>
      <c r="C33" s="464"/>
      <c r="D33" s="464"/>
      <c r="E33" s="464"/>
      <c r="F33" s="464"/>
      <c r="G33" s="464"/>
      <c r="H33" s="464"/>
      <c r="BG33" s="113"/>
      <c r="BM33" s="113"/>
      <c r="BN33" s="113"/>
      <c r="BO33" s="113"/>
      <c r="BP33" s="113"/>
      <c r="BQ33" s="113"/>
      <c r="BR33" s="113"/>
      <c r="DF33" s="116" t="str">
        <f t="shared" si="8"/>
        <v>IV</v>
      </c>
      <c r="DG33" s="117">
        <f t="shared" si="9"/>
        <v>2024</v>
      </c>
      <c r="DH33" s="85" t="str">
        <f>KOIps!M9</f>
        <v>-</v>
      </c>
      <c r="DI33" s="84" t="s">
        <v>113</v>
      </c>
      <c r="DJ33" s="84" t="s">
        <v>62</v>
      </c>
      <c r="DK33" s="84" t="str">
        <f>KOIps!A22</f>
        <v>QC1 (1,84)</v>
      </c>
      <c r="DL33" s="388">
        <v>1.84</v>
      </c>
      <c r="DM33" s="89">
        <f>KOIps!H22</f>
        <v>1.7000000000000004</v>
      </c>
      <c r="DN33" s="84">
        <f>KOIps!I22</f>
        <v>92.4</v>
      </c>
      <c r="DO33" s="119" t="s">
        <v>44</v>
      </c>
    </row>
    <row r="34" spans="1:119" ht="18" customHeight="1" x14ac:dyDescent="0.5">
      <c r="BG34" s="113"/>
      <c r="BM34" s="113"/>
      <c r="BN34" s="113"/>
      <c r="BO34" s="113"/>
      <c r="BP34" s="113"/>
      <c r="BQ34" s="113"/>
      <c r="BR34" s="113"/>
      <c r="DF34" s="109" t="str">
        <f t="shared" si="8"/>
        <v>IV</v>
      </c>
      <c r="DG34" s="110">
        <f t="shared" si="9"/>
        <v>2024</v>
      </c>
      <c r="DH34" s="77" t="str">
        <f>Cl!M9</f>
        <v>-</v>
      </c>
      <c r="DI34" s="76" t="s">
        <v>159</v>
      </c>
      <c r="DJ34" s="76" t="s">
        <v>82</v>
      </c>
      <c r="DK34" s="76" t="s">
        <v>80</v>
      </c>
      <c r="DL34" s="389" t="s">
        <v>44</v>
      </c>
      <c r="DM34" s="76">
        <f>Cl!B6</f>
        <v>0</v>
      </c>
      <c r="DN34" s="110"/>
      <c r="DO34" s="112" t="s">
        <v>44</v>
      </c>
    </row>
    <row r="35" spans="1:119" ht="18" customHeight="1" x14ac:dyDescent="0.5">
      <c r="W35" s="139"/>
      <c r="AU35" s="139"/>
      <c r="AV35" s="139"/>
      <c r="AW35" s="139"/>
      <c r="AX35" s="139"/>
      <c r="AY35" s="139"/>
      <c r="AZ35" s="139"/>
      <c r="BA35" s="139"/>
      <c r="BB35" s="139"/>
      <c r="BC35" s="139"/>
      <c r="BD35" s="139"/>
      <c r="BE35" s="139"/>
      <c r="BG35" s="113"/>
      <c r="BM35" s="113"/>
      <c r="BN35" s="113"/>
      <c r="BO35" s="113"/>
      <c r="BP35" s="113"/>
      <c r="BQ35" s="113"/>
      <c r="BR35" s="113"/>
      <c r="DF35" s="114" t="str">
        <f t="shared" si="8"/>
        <v>IV</v>
      </c>
      <c r="DG35" s="1">
        <f t="shared" si="9"/>
        <v>2024</v>
      </c>
      <c r="DH35" s="80" t="str">
        <f>Cl!M9</f>
        <v>-</v>
      </c>
      <c r="DI35" s="71" t="s">
        <v>159</v>
      </c>
      <c r="DJ35" s="71" t="s">
        <v>82</v>
      </c>
      <c r="DK35" s="71" t="s">
        <v>83</v>
      </c>
      <c r="DL35" s="18" t="s">
        <v>44</v>
      </c>
      <c r="DM35" s="88">
        <f>Cl!E6</f>
        <v>10</v>
      </c>
      <c r="DN35" s="1"/>
      <c r="DO35" s="115" t="s">
        <v>44</v>
      </c>
    </row>
    <row r="36" spans="1:119" ht="18" customHeight="1" x14ac:dyDescent="0.5">
      <c r="W36" s="139"/>
      <c r="AU36" s="139"/>
      <c r="AV36" s="139"/>
      <c r="AW36" s="139"/>
      <c r="AX36" s="139"/>
      <c r="AY36" s="139"/>
      <c r="AZ36" s="139"/>
      <c r="BA36" s="139"/>
      <c r="BB36" s="139"/>
      <c r="BC36" s="139"/>
      <c r="BD36" s="139"/>
      <c r="BE36" s="139"/>
      <c r="BG36" s="113"/>
      <c r="BM36" s="113"/>
      <c r="BN36" s="113"/>
      <c r="BO36" s="113"/>
      <c r="BP36" s="113"/>
      <c r="BQ36" s="113"/>
      <c r="BR36" s="113"/>
      <c r="DF36" s="114" t="str">
        <f t="shared" si="8"/>
        <v>IV</v>
      </c>
      <c r="DG36" s="1">
        <f t="shared" si="9"/>
        <v>2024</v>
      </c>
      <c r="DH36" s="80" t="str">
        <f>Cl!M9</f>
        <v>-</v>
      </c>
      <c r="DI36" s="71" t="s">
        <v>159</v>
      </c>
      <c r="DJ36" s="71" t="s">
        <v>44</v>
      </c>
      <c r="DK36" s="71" t="s">
        <v>5</v>
      </c>
      <c r="DL36" s="18" t="s">
        <v>44</v>
      </c>
      <c r="DM36" s="71">
        <f>Cl!G6</f>
        <v>1</v>
      </c>
      <c r="DN36" s="1"/>
      <c r="DO36" s="115" t="s">
        <v>44</v>
      </c>
    </row>
    <row r="37" spans="1:119" ht="18" customHeight="1" thickBot="1" x14ac:dyDescent="0.55000000000000004">
      <c r="A37" t="s">
        <v>702</v>
      </c>
      <c r="C37" t="s">
        <v>703</v>
      </c>
      <c r="W37" s="139"/>
      <c r="AU37" s="139"/>
      <c r="AV37" s="139"/>
      <c r="AW37" s="139"/>
      <c r="AX37" s="139"/>
      <c r="AY37" s="139"/>
      <c r="AZ37" s="139"/>
      <c r="BA37" s="139"/>
      <c r="BB37" s="139"/>
      <c r="BC37" s="139"/>
      <c r="BD37" s="139"/>
      <c r="BE37" s="139"/>
      <c r="BG37" s="113"/>
      <c r="BM37" s="113"/>
      <c r="BN37" s="113"/>
      <c r="BO37" s="113"/>
      <c r="BP37" s="113"/>
      <c r="BQ37" s="113"/>
      <c r="BR37" s="113"/>
      <c r="DF37" s="116" t="str">
        <f t="shared" si="8"/>
        <v>IV</v>
      </c>
      <c r="DG37" s="117">
        <f t="shared" si="9"/>
        <v>2024</v>
      </c>
      <c r="DH37" s="85" t="str">
        <f>Cl!M9</f>
        <v>-</v>
      </c>
      <c r="DI37" s="84" t="s">
        <v>159</v>
      </c>
      <c r="DJ37" s="84" t="s">
        <v>62</v>
      </c>
      <c r="DK37" s="84" t="str">
        <f>Cl!A22</f>
        <v>QC1 (20)</v>
      </c>
      <c r="DL37" s="388">
        <v>20</v>
      </c>
      <c r="DM37" s="89">
        <f>Cl!H22</f>
        <v>26.000000000000014</v>
      </c>
      <c r="DN37" s="84">
        <f>Cl!I22</f>
        <v>130</v>
      </c>
      <c r="DO37" s="119" t="s">
        <v>44</v>
      </c>
    </row>
    <row r="38" spans="1:119" ht="18" customHeight="1" x14ac:dyDescent="0.5">
      <c r="A38" t="s">
        <v>714</v>
      </c>
      <c r="B38" s="319">
        <v>45534</v>
      </c>
      <c r="C38" t="s">
        <v>715</v>
      </c>
      <c r="W38" s="139"/>
      <c r="AU38" s="139"/>
      <c r="AV38" s="139"/>
      <c r="AW38" s="139"/>
      <c r="AX38" s="139"/>
      <c r="AY38" s="139"/>
      <c r="AZ38" s="139"/>
      <c r="BA38" s="139"/>
      <c r="BB38" s="139"/>
      <c r="BC38" s="139"/>
      <c r="BD38" s="139"/>
      <c r="BE38" s="139"/>
      <c r="BG38" s="113"/>
      <c r="BM38" s="113"/>
      <c r="BN38" s="113"/>
      <c r="BO38" s="113"/>
      <c r="BP38" s="113"/>
      <c r="BQ38" s="113"/>
      <c r="BR38" s="113"/>
      <c r="DF38" s="109" t="str">
        <f t="shared" si="8"/>
        <v>IV</v>
      </c>
      <c r="DG38" s="110">
        <f t="shared" si="9"/>
        <v>2024</v>
      </c>
      <c r="DH38" s="77" t="str">
        <f>Lúgosság!M9</f>
        <v>-</v>
      </c>
      <c r="DI38" s="76" t="s">
        <v>170</v>
      </c>
      <c r="DJ38" s="76" t="s">
        <v>82</v>
      </c>
      <c r="DK38" s="76" t="s">
        <v>80</v>
      </c>
      <c r="DL38" s="389" t="s">
        <v>44</v>
      </c>
      <c r="DM38" s="76">
        <f>Lúgosság!B6</f>
        <v>0</v>
      </c>
      <c r="DN38" s="110"/>
      <c r="DO38" s="112" t="s">
        <v>44</v>
      </c>
    </row>
    <row r="39" spans="1:119" ht="18" customHeight="1" x14ac:dyDescent="0.5">
      <c r="A39" t="s">
        <v>834</v>
      </c>
      <c r="C39" t="s">
        <v>928</v>
      </c>
      <c r="W39" s="139"/>
      <c r="AU39" s="139"/>
      <c r="AV39" s="139"/>
      <c r="AW39" s="139"/>
      <c r="AX39" s="139"/>
      <c r="AY39" s="139"/>
      <c r="AZ39" s="139"/>
      <c r="BA39" s="139"/>
      <c r="BB39" s="139"/>
      <c r="BC39" s="139"/>
      <c r="BD39" s="139"/>
      <c r="BE39" s="139"/>
      <c r="BG39" s="113"/>
      <c r="BM39" s="113"/>
      <c r="BN39" s="113"/>
      <c r="BO39" s="113"/>
      <c r="BP39" s="113"/>
      <c r="BQ39" s="113"/>
      <c r="BR39" s="113"/>
      <c r="DF39" s="114" t="str">
        <f t="shared" si="8"/>
        <v>IV</v>
      </c>
      <c r="DG39" s="1">
        <f t="shared" si="9"/>
        <v>2024</v>
      </c>
      <c r="DH39" s="80" t="str">
        <f>Lúgosság!M9</f>
        <v>-</v>
      </c>
      <c r="DI39" s="71" t="s">
        <v>170</v>
      </c>
      <c r="DJ39" s="71" t="s">
        <v>82</v>
      </c>
      <c r="DK39" s="71" t="s">
        <v>83</v>
      </c>
      <c r="DL39" s="18" t="s">
        <v>44</v>
      </c>
      <c r="DM39" s="88">
        <f>Lúgosság!E6</f>
        <v>12.5</v>
      </c>
      <c r="DN39" s="1"/>
      <c r="DO39" s="115" t="s">
        <v>44</v>
      </c>
    </row>
    <row r="40" spans="1:119" ht="18" customHeight="1" x14ac:dyDescent="0.5">
      <c r="A40" t="s">
        <v>935</v>
      </c>
      <c r="C40" t="s">
        <v>963</v>
      </c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113"/>
      <c r="AU40" s="139"/>
      <c r="AV40" s="139"/>
      <c r="AW40" s="139"/>
      <c r="AX40" s="139"/>
      <c r="AY40" s="139"/>
      <c r="AZ40" s="139"/>
      <c r="BA40" s="139"/>
      <c r="BB40" s="139"/>
      <c r="BC40" s="139"/>
      <c r="BD40" s="139"/>
      <c r="BE40" s="139"/>
      <c r="BG40" s="113"/>
      <c r="BM40" s="113"/>
      <c r="BN40" s="113"/>
      <c r="BO40" s="113"/>
      <c r="BP40" s="113"/>
      <c r="BQ40" s="113"/>
      <c r="BR40" s="113"/>
      <c r="DF40" s="114" t="str">
        <f t="shared" si="8"/>
        <v>IV</v>
      </c>
      <c r="DG40" s="1">
        <f t="shared" si="9"/>
        <v>2024</v>
      </c>
      <c r="DH40" s="80" t="str">
        <f>Lúgosság!M9</f>
        <v>-</v>
      </c>
      <c r="DI40" s="71" t="s">
        <v>170</v>
      </c>
      <c r="DJ40" s="71" t="s">
        <v>44</v>
      </c>
      <c r="DK40" s="71" t="s">
        <v>5</v>
      </c>
      <c r="DL40" s="18" t="s">
        <v>44</v>
      </c>
      <c r="DM40" s="71">
        <f>Lúgosság!G6</f>
        <v>1</v>
      </c>
      <c r="DN40" s="1"/>
      <c r="DO40" s="115" t="s">
        <v>44</v>
      </c>
    </row>
    <row r="41" spans="1:119" ht="18" customHeight="1" thickBot="1" x14ac:dyDescent="0.55000000000000004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39"/>
      <c r="Y41" s="139"/>
      <c r="Z41" s="139"/>
      <c r="AA41" s="139"/>
      <c r="AB41" s="139"/>
      <c r="AC41" s="139"/>
      <c r="AD41" s="139"/>
      <c r="AE41" s="139"/>
      <c r="AF41" s="139"/>
      <c r="AG41" s="139"/>
      <c r="AH41" s="139"/>
      <c r="AI41" s="139"/>
      <c r="AJ41" s="139"/>
      <c r="AK41" s="139"/>
      <c r="AL41" s="139"/>
      <c r="AM41" s="139"/>
      <c r="AN41" s="139"/>
      <c r="AO41" s="139"/>
      <c r="AP41" s="139"/>
      <c r="AQ41" s="139"/>
      <c r="AR41" s="139"/>
      <c r="AS41" s="139"/>
      <c r="AT41" s="139"/>
      <c r="AU41" s="139"/>
      <c r="AV41" s="139"/>
      <c r="AW41" s="139"/>
      <c r="AX41" s="139"/>
      <c r="AY41" s="139"/>
      <c r="AZ41" s="139"/>
      <c r="BA41" s="139"/>
      <c r="BB41" s="139"/>
      <c r="BC41" s="139"/>
      <c r="BD41" s="139"/>
      <c r="BE41" s="139"/>
      <c r="BG41" s="113"/>
      <c r="BM41" s="113"/>
      <c r="BN41" s="113"/>
      <c r="BO41" s="113"/>
      <c r="BP41" s="113"/>
      <c r="BQ41" s="113"/>
      <c r="BR41" s="113"/>
      <c r="DF41" s="140" t="str">
        <f t="shared" si="8"/>
        <v>IV</v>
      </c>
      <c r="DG41" s="141">
        <f t="shared" si="9"/>
        <v>2024</v>
      </c>
      <c r="DH41" s="142" t="str">
        <f>Lúgosság!M9</f>
        <v>-</v>
      </c>
      <c r="DI41" s="143" t="s">
        <v>170</v>
      </c>
      <c r="DJ41" s="143" t="s">
        <v>62</v>
      </c>
      <c r="DK41" s="143" t="s">
        <v>44</v>
      </c>
      <c r="DL41" s="12" t="s">
        <v>44</v>
      </c>
      <c r="DM41" s="144" t="s">
        <v>44</v>
      </c>
      <c r="DN41" s="143" t="s">
        <v>44</v>
      </c>
      <c r="DO41" s="145" t="s">
        <v>44</v>
      </c>
    </row>
    <row r="42" spans="1:119" ht="18" customHeight="1" x14ac:dyDescent="0.5">
      <c r="X42" s="139"/>
      <c r="Y42" s="139"/>
      <c r="Z42" s="139"/>
      <c r="AA42" s="139"/>
      <c r="AB42" s="139"/>
      <c r="AC42" s="139"/>
      <c r="AD42" s="139"/>
      <c r="AE42" s="139"/>
      <c r="AF42" s="139"/>
      <c r="AG42" s="139"/>
      <c r="AH42" s="139"/>
      <c r="AI42" s="139"/>
      <c r="AJ42" s="139"/>
      <c r="AK42" s="139"/>
      <c r="AL42" s="139"/>
      <c r="AM42" s="139"/>
      <c r="AN42" s="139"/>
      <c r="AO42" s="139"/>
      <c r="AP42" s="139"/>
      <c r="AQ42" s="139"/>
      <c r="AR42" s="139"/>
      <c r="AS42" s="139"/>
      <c r="AT42" s="139"/>
      <c r="AU42" s="139"/>
      <c r="AV42" s="139"/>
      <c r="AW42" s="139"/>
      <c r="AX42" s="139"/>
      <c r="AY42" s="139"/>
      <c r="AZ42" s="139"/>
      <c r="BA42" s="139"/>
      <c r="BB42" s="139"/>
      <c r="BC42" s="139"/>
      <c r="BD42" s="139"/>
      <c r="BE42" s="139"/>
      <c r="BG42" s="113"/>
      <c r="BM42" s="113"/>
      <c r="BN42" s="113"/>
      <c r="BO42" s="113"/>
      <c r="BP42" s="113"/>
      <c r="BQ42" s="113"/>
      <c r="BR42" s="113"/>
      <c r="DF42" s="109" t="str">
        <f t="shared" si="8"/>
        <v>IV</v>
      </c>
      <c r="DG42" s="110">
        <f t="shared" si="9"/>
        <v>2024</v>
      </c>
      <c r="DH42" s="77" t="str">
        <f>ÖK!M9</f>
        <v>-</v>
      </c>
      <c r="DI42" s="76" t="s">
        <v>186</v>
      </c>
      <c r="DJ42" s="76" t="s">
        <v>82</v>
      </c>
      <c r="DK42" s="76" t="s">
        <v>83</v>
      </c>
      <c r="DL42" s="389" t="s">
        <v>44</v>
      </c>
      <c r="DM42" s="76">
        <f>ÖK!B9</f>
        <v>10</v>
      </c>
      <c r="DN42" s="110"/>
      <c r="DO42" s="112" t="s">
        <v>44</v>
      </c>
    </row>
    <row r="43" spans="1:119" ht="18" customHeight="1" x14ac:dyDescent="0.5">
      <c r="X43" s="139"/>
      <c r="Y43" s="139"/>
      <c r="Z43" s="139"/>
      <c r="AA43" s="139"/>
      <c r="AB43" s="139"/>
      <c r="AC43" s="139"/>
      <c r="AD43" s="139"/>
      <c r="AE43" s="139"/>
      <c r="AF43" s="139"/>
      <c r="AG43" s="139"/>
      <c r="AH43" s="139"/>
      <c r="AI43" s="139"/>
      <c r="AJ43" s="139"/>
      <c r="AK43" s="139"/>
      <c r="AL43" s="139"/>
      <c r="AM43" s="139"/>
      <c r="AN43" s="139"/>
      <c r="AO43" s="139"/>
      <c r="AP43" s="139"/>
      <c r="AQ43" s="139"/>
      <c r="AR43" s="139"/>
      <c r="AS43" s="139"/>
      <c r="AT43" s="139"/>
      <c r="AU43" s="139"/>
      <c r="AV43" s="139"/>
      <c r="AW43" s="139"/>
      <c r="AX43" s="139"/>
      <c r="AY43" s="139"/>
      <c r="AZ43" s="139"/>
      <c r="BA43" s="139"/>
      <c r="BB43" s="139"/>
      <c r="BC43" s="139"/>
      <c r="BD43" s="139"/>
      <c r="BE43" s="139"/>
      <c r="BG43" s="113"/>
      <c r="BM43" s="113"/>
      <c r="BN43" s="113"/>
      <c r="BO43" s="113"/>
      <c r="BP43" s="113"/>
      <c r="BQ43" s="113"/>
      <c r="BR43" s="113"/>
      <c r="DF43" s="114" t="str">
        <f t="shared" si="8"/>
        <v>IV</v>
      </c>
      <c r="DG43" s="1">
        <f t="shared" si="9"/>
        <v>2024</v>
      </c>
      <c r="DH43" s="80" t="str">
        <f>ÖK!M9</f>
        <v>-</v>
      </c>
      <c r="DI43" s="71" t="s">
        <v>186</v>
      </c>
      <c r="DJ43" s="71" t="s">
        <v>82</v>
      </c>
      <c r="DK43" s="71" t="s">
        <v>5</v>
      </c>
      <c r="DL43" s="18" t="s">
        <v>44</v>
      </c>
      <c r="DM43" s="88">
        <f>ÖK!B13</f>
        <v>1</v>
      </c>
      <c r="DN43" s="1"/>
      <c r="DO43" s="115" t="s">
        <v>44</v>
      </c>
    </row>
    <row r="44" spans="1:119" ht="18" customHeight="1" x14ac:dyDescent="0.5">
      <c r="X44" s="139"/>
      <c r="Y44" s="139"/>
      <c r="Z44" s="139"/>
      <c r="AA44" s="139"/>
      <c r="AB44" s="139"/>
      <c r="AC44" s="139"/>
      <c r="AD44" s="139"/>
      <c r="AE44" s="139"/>
      <c r="AF44" s="139"/>
      <c r="AG44" s="139"/>
      <c r="AH44" s="139"/>
      <c r="AI44" s="139"/>
      <c r="AJ44" s="139"/>
      <c r="AK44" s="139"/>
      <c r="AL44" s="139"/>
      <c r="AM44" s="139"/>
      <c r="AN44" s="139"/>
      <c r="AO44" s="139"/>
      <c r="AP44" s="139"/>
      <c r="AQ44" s="139"/>
      <c r="AR44" s="139"/>
      <c r="AS44" s="139"/>
      <c r="AT44" s="139"/>
      <c r="AU44" s="139"/>
      <c r="AV44" s="139"/>
      <c r="AW44" s="139"/>
      <c r="AX44" s="139"/>
      <c r="AY44" s="139"/>
      <c r="AZ44" s="139"/>
      <c r="BA44" s="139"/>
      <c r="BB44" s="139"/>
      <c r="BC44" s="139"/>
      <c r="BD44" s="139"/>
      <c r="BE44" s="139"/>
      <c r="BG44" s="113"/>
      <c r="BM44" s="113"/>
      <c r="BN44" s="113"/>
      <c r="BO44" s="113"/>
      <c r="BP44" s="113"/>
      <c r="BQ44" s="113"/>
      <c r="BR44" s="113"/>
      <c r="DF44" s="114" t="str">
        <f t="shared" si="8"/>
        <v>IV</v>
      </c>
      <c r="DG44" s="1">
        <f t="shared" si="9"/>
        <v>2024</v>
      </c>
      <c r="DH44" s="80" t="str">
        <f>ÖK!M9</f>
        <v>-</v>
      </c>
      <c r="DI44" s="71" t="s">
        <v>186</v>
      </c>
      <c r="DJ44" s="71" t="s">
        <v>217</v>
      </c>
      <c r="DK44" s="71" t="str">
        <f>ÖK!A22</f>
        <v>QC1 (87/35)</v>
      </c>
      <c r="DL44" s="18">
        <v>87</v>
      </c>
      <c r="DM44" s="71">
        <f>ÖK!D22</f>
        <v>151.99999999999989</v>
      </c>
      <c r="DN44" s="1">
        <f>ÖK!I22</f>
        <v>174.7</v>
      </c>
      <c r="DO44" s="115" t="s">
        <v>44</v>
      </c>
    </row>
    <row r="45" spans="1:119" ht="18" customHeight="1" x14ac:dyDescent="0.5">
      <c r="X45" s="139"/>
      <c r="Y45" s="139"/>
      <c r="Z45" s="139"/>
      <c r="AA45" s="139"/>
      <c r="AB45" s="139"/>
      <c r="AC45" s="139"/>
      <c r="AD45" s="139"/>
      <c r="AE45" s="139"/>
      <c r="AF45" s="139"/>
      <c r="AG45" s="139"/>
      <c r="AH45" s="139"/>
      <c r="AI45" s="139"/>
      <c r="AJ45" s="139"/>
      <c r="AK45" s="139"/>
      <c r="AL45" s="139"/>
      <c r="AM45" s="139"/>
      <c r="AN45" s="139"/>
      <c r="AO45" s="139"/>
      <c r="AP45" s="139"/>
      <c r="AQ45" s="139"/>
      <c r="AR45" s="139"/>
      <c r="AS45" s="139"/>
      <c r="AT45" s="139"/>
      <c r="AU45" s="139"/>
      <c r="AV45" s="139"/>
      <c r="AW45" s="139"/>
      <c r="AX45" s="139"/>
      <c r="AY45" s="139"/>
      <c r="AZ45" s="139"/>
      <c r="BA45" s="139"/>
      <c r="BB45" s="139"/>
      <c r="BC45" s="139"/>
      <c r="BD45" s="139"/>
      <c r="BE45" s="139"/>
      <c r="BG45" s="113"/>
      <c r="BM45" s="113"/>
      <c r="BN45" s="113"/>
      <c r="BO45" s="113"/>
      <c r="BP45" s="113"/>
      <c r="BQ45" s="113"/>
      <c r="BR45" s="113"/>
      <c r="DF45" s="146" t="str">
        <f t="shared" si="8"/>
        <v>IV</v>
      </c>
      <c r="DG45" s="147">
        <f t="shared" si="9"/>
        <v>2024</v>
      </c>
      <c r="DH45" s="148" t="str">
        <f>ÖK!M9</f>
        <v>-</v>
      </c>
      <c r="DI45" s="149" t="s">
        <v>186</v>
      </c>
      <c r="DJ45" s="149" t="s">
        <v>218</v>
      </c>
      <c r="DK45" s="149" t="str">
        <f>ÖK!A22</f>
        <v>QC1 (87/35)</v>
      </c>
      <c r="DL45" s="394">
        <v>35</v>
      </c>
      <c r="DM45" s="149">
        <f>ÖK!F22</f>
        <v>54.317199999999964</v>
      </c>
      <c r="DN45" s="147">
        <f>ÖK!J22</f>
        <v>155.19999999999999</v>
      </c>
      <c r="DO45" s="150"/>
    </row>
    <row r="46" spans="1:119" ht="18" customHeight="1" thickBot="1" x14ac:dyDescent="0.55000000000000004">
      <c r="X46" s="139"/>
      <c r="Y46" s="139"/>
      <c r="Z46" s="139"/>
      <c r="AA46" s="139"/>
      <c r="AB46" s="139"/>
      <c r="AC46" s="139"/>
      <c r="AD46" s="139"/>
      <c r="AE46" s="139"/>
      <c r="AF46" s="139"/>
      <c r="AG46" s="139"/>
      <c r="AH46" s="139"/>
      <c r="AI46" s="139"/>
      <c r="AJ46" s="139"/>
      <c r="AK46" s="139"/>
      <c r="AL46" s="139"/>
      <c r="AM46" s="139"/>
      <c r="AN46" s="139"/>
      <c r="AO46" s="139"/>
      <c r="AP46" s="139"/>
      <c r="AQ46" s="139"/>
      <c r="AR46" s="139"/>
      <c r="AS46" s="139"/>
      <c r="AT46" s="139"/>
      <c r="AU46" s="139"/>
      <c r="AV46" s="139"/>
      <c r="AW46" s="139"/>
      <c r="AX46" s="139"/>
      <c r="AY46" s="139"/>
      <c r="AZ46" s="139"/>
      <c r="BA46" s="139"/>
      <c r="BB46" s="139"/>
      <c r="BC46" s="139"/>
      <c r="BD46" s="139"/>
      <c r="BE46" s="139"/>
      <c r="BG46" s="113"/>
      <c r="BM46" s="113"/>
      <c r="BN46" s="113"/>
      <c r="BO46" s="113"/>
      <c r="BP46" s="113"/>
      <c r="BQ46" s="113"/>
      <c r="BR46" s="113"/>
      <c r="DF46" s="116" t="str">
        <f t="shared" si="8"/>
        <v>IV</v>
      </c>
      <c r="DG46" s="117">
        <f t="shared" si="9"/>
        <v>2024</v>
      </c>
      <c r="DH46" s="85" t="str">
        <f>ÖK!M9</f>
        <v>-</v>
      </c>
      <c r="DI46" s="84" t="s">
        <v>186</v>
      </c>
      <c r="DJ46" s="84" t="s">
        <v>219</v>
      </c>
      <c r="DK46" s="84" t="str">
        <f>ÖK!A22</f>
        <v>QC1 (87/35)</v>
      </c>
      <c r="DL46" s="12" t="s">
        <v>220</v>
      </c>
      <c r="DM46" s="89">
        <f>ÖK!H22</f>
        <v>32.945999999999977</v>
      </c>
      <c r="DN46" s="84">
        <f>ÖK!K22</f>
        <v>202.1</v>
      </c>
      <c r="DO46" s="119" t="s">
        <v>44</v>
      </c>
    </row>
    <row r="47" spans="1:119" ht="18" customHeight="1" thickBot="1" x14ac:dyDescent="0.55000000000000004">
      <c r="X47" s="139"/>
      <c r="Y47" s="139"/>
      <c r="Z47" s="139"/>
      <c r="AA47" s="139"/>
      <c r="AB47" s="139"/>
      <c r="AC47" s="139"/>
      <c r="AD47" s="139"/>
      <c r="AE47" s="139"/>
      <c r="AF47" s="139"/>
      <c r="AG47" s="139"/>
      <c r="AH47" s="139"/>
      <c r="AI47" s="139"/>
      <c r="AJ47" s="139"/>
      <c r="AK47" s="139"/>
      <c r="AL47" s="139"/>
      <c r="AM47" s="139"/>
      <c r="AN47" s="139"/>
      <c r="AO47" s="139"/>
      <c r="AP47" s="139"/>
      <c r="AQ47" s="139"/>
      <c r="AR47" s="139"/>
      <c r="AS47" s="139"/>
      <c r="AT47" s="139"/>
      <c r="AU47" s="139"/>
      <c r="AV47" s="139"/>
      <c r="AW47" s="139"/>
      <c r="AX47" s="139"/>
      <c r="AY47" s="139"/>
      <c r="AZ47" s="139"/>
      <c r="BA47" s="139"/>
      <c r="BB47" s="139"/>
      <c r="BC47" s="139"/>
      <c r="BD47" s="139"/>
      <c r="BE47" s="139"/>
      <c r="BG47" s="113"/>
      <c r="BM47" s="113"/>
      <c r="BN47" s="113"/>
      <c r="BO47" s="113"/>
      <c r="BP47" s="113"/>
      <c r="BQ47" s="113"/>
      <c r="BR47" s="113"/>
      <c r="DF47" s="57" t="str">
        <f t="shared" si="8"/>
        <v>IV</v>
      </c>
      <c r="DG47" s="58">
        <f t="shared" si="9"/>
        <v>2024</v>
      </c>
      <c r="DH47" s="151">
        <f>'SO4'!M9</f>
        <v>45324</v>
      </c>
      <c r="DI47" s="152" t="s">
        <v>212</v>
      </c>
      <c r="DJ47" s="152" t="s">
        <v>62</v>
      </c>
      <c r="DK47" s="152" t="str">
        <f>'SO4'!A22</f>
        <v>QC1 (20)</v>
      </c>
      <c r="DL47" s="395">
        <v>20</v>
      </c>
      <c r="DM47" s="152">
        <f>'SO4'!E22</f>
        <v>139.91000000017098</v>
      </c>
      <c r="DN47" s="58">
        <f>'SO4'!F22</f>
        <v>699.6</v>
      </c>
      <c r="DO47" s="59" t="s">
        <v>44</v>
      </c>
    </row>
    <row r="48" spans="1:119" ht="18" customHeight="1" x14ac:dyDescent="0.5">
      <c r="BG48" s="113"/>
      <c r="BM48" s="113"/>
      <c r="BN48" s="113"/>
      <c r="BO48" s="113"/>
      <c r="BP48" s="113"/>
      <c r="BQ48" s="113"/>
      <c r="BR48" s="113"/>
      <c r="CM48" s="51"/>
      <c r="CN48" s="51"/>
    </row>
    <row r="49" spans="104:151" ht="18" customHeight="1" x14ac:dyDescent="0.25">
      <c r="CZ49"/>
      <c r="DA49"/>
      <c r="DB49"/>
      <c r="DD49" s="82"/>
      <c r="DE49" s="82"/>
      <c r="DF49" s="82"/>
      <c r="DG49" s="82"/>
      <c r="DH49" s="82"/>
      <c r="DI49" s="82"/>
      <c r="DJ49" s="82"/>
      <c r="DK49" s="82"/>
      <c r="DL49" s="82"/>
      <c r="DM49" s="82"/>
      <c r="DN49" s="82"/>
      <c r="DO49" s="82"/>
      <c r="DP49" s="82"/>
      <c r="DQ49" s="82"/>
      <c r="DR49" s="82"/>
      <c r="DS49" s="82"/>
      <c r="DT49" s="82"/>
      <c r="DU49" s="82"/>
      <c r="DV49" s="82"/>
      <c r="DW49"/>
      <c r="DX49"/>
      <c r="DY49"/>
      <c r="DZ49"/>
      <c r="EA49"/>
      <c r="EB49"/>
      <c r="EL49" s="52"/>
      <c r="EM49" s="52"/>
      <c r="EN49" s="52"/>
      <c r="EO49" s="52"/>
      <c r="EP49" s="52"/>
      <c r="EQ49" s="52"/>
      <c r="ER49" s="52"/>
      <c r="ES49" s="52"/>
      <c r="ET49" s="52"/>
      <c r="EU49" s="52"/>
    </row>
    <row r="50" spans="104:151" ht="18" customHeight="1" x14ac:dyDescent="0.25">
      <c r="CZ50"/>
      <c r="DA50"/>
      <c r="DB50"/>
      <c r="DD50" s="82"/>
      <c r="DE50" s="82"/>
      <c r="DF50" s="82"/>
      <c r="DG50" s="82"/>
      <c r="DH50" s="82"/>
      <c r="DI50" s="82"/>
      <c r="DJ50" s="82"/>
      <c r="DK50" s="82"/>
      <c r="DL50" s="82"/>
      <c r="DM50" s="82"/>
      <c r="DN50" s="82"/>
      <c r="DO50" s="82"/>
      <c r="DP50" s="82"/>
      <c r="DQ50" s="82"/>
      <c r="DR50" s="82"/>
      <c r="DS50" s="82"/>
      <c r="DT50" s="82"/>
      <c r="DU50" s="82"/>
      <c r="DV50" s="82"/>
      <c r="DW50"/>
      <c r="DX50"/>
      <c r="DY50"/>
      <c r="DZ50"/>
      <c r="EA50"/>
      <c r="EB50"/>
      <c r="EL50" s="52"/>
      <c r="EM50" s="52"/>
      <c r="EN50" s="52"/>
      <c r="EO50" s="52"/>
      <c r="EP50" s="52"/>
      <c r="EQ50" s="52"/>
      <c r="ER50" s="52"/>
      <c r="ES50" s="52"/>
      <c r="ET50" s="52"/>
      <c r="EU50" s="52"/>
    </row>
    <row r="51" spans="104:151" ht="18" customHeight="1" x14ac:dyDescent="0.25">
      <c r="CZ51"/>
      <c r="DA51"/>
      <c r="DB51"/>
      <c r="DD51" s="82"/>
      <c r="DE51" s="82"/>
      <c r="DF51" s="82"/>
      <c r="DG51" s="82"/>
      <c r="DH51" s="82"/>
      <c r="DI51" s="82"/>
      <c r="DJ51" s="82"/>
      <c r="DK51" s="82"/>
      <c r="DL51" s="82"/>
      <c r="DM51" s="82"/>
      <c r="DN51" s="82"/>
      <c r="DO51" s="82"/>
      <c r="DP51" s="82"/>
      <c r="DQ51" s="82"/>
      <c r="DR51" s="82"/>
      <c r="DS51" s="82"/>
      <c r="DT51" s="82"/>
      <c r="DU51" s="82"/>
      <c r="DV51" s="82"/>
      <c r="DW51"/>
      <c r="DX51"/>
      <c r="DY51"/>
      <c r="DZ51"/>
      <c r="EA51"/>
      <c r="EB51"/>
      <c r="EL51" s="52"/>
      <c r="EM51" s="52"/>
      <c r="EN51" s="52"/>
      <c r="EO51" s="52"/>
      <c r="EP51" s="52"/>
      <c r="EQ51" s="52"/>
      <c r="ER51" s="52"/>
      <c r="ES51" s="52"/>
      <c r="ET51" s="52"/>
      <c r="EU51" s="52"/>
    </row>
    <row r="52" spans="104:151" ht="18" customHeight="1" x14ac:dyDescent="0.25">
      <c r="CZ52"/>
      <c r="DA52"/>
      <c r="DB52"/>
      <c r="DD52" s="82"/>
      <c r="DE52" s="82"/>
      <c r="DF52" s="82"/>
      <c r="DG52" s="82"/>
      <c r="DH52" s="82"/>
      <c r="DI52" s="82"/>
      <c r="DJ52" s="82"/>
      <c r="DK52" s="82"/>
      <c r="DL52" s="82"/>
      <c r="DM52" s="82"/>
      <c r="DN52" s="82"/>
      <c r="DO52" s="82"/>
      <c r="DP52" s="82"/>
      <c r="DQ52" s="82"/>
      <c r="DR52" s="82"/>
      <c r="DS52" s="82"/>
      <c r="DT52" s="82"/>
      <c r="DU52" s="82"/>
      <c r="DV52" s="82"/>
      <c r="DW52"/>
      <c r="DX52"/>
      <c r="DY52"/>
      <c r="DZ52"/>
      <c r="EA52"/>
      <c r="EB52"/>
      <c r="EL52" s="52"/>
      <c r="EM52" s="52"/>
      <c r="EN52" s="52"/>
      <c r="EO52" s="52"/>
      <c r="EP52" s="52"/>
      <c r="EQ52" s="52"/>
      <c r="ER52" s="52"/>
      <c r="ES52" s="52"/>
      <c r="ET52" s="52"/>
      <c r="EU52" s="52"/>
    </row>
    <row r="53" spans="104:151" ht="18" customHeight="1" x14ac:dyDescent="0.25">
      <c r="CZ53"/>
      <c r="DA53"/>
      <c r="DB53"/>
      <c r="DD53" s="82"/>
      <c r="DE53" s="82"/>
      <c r="DF53" s="82"/>
      <c r="DG53" s="82"/>
      <c r="DH53" s="82"/>
      <c r="DI53" s="82"/>
      <c r="DJ53" s="82"/>
      <c r="DK53" s="82"/>
      <c r="DL53" s="82"/>
      <c r="DM53" s="82"/>
      <c r="DN53" s="82"/>
      <c r="DO53" s="82"/>
      <c r="DP53" s="82"/>
      <c r="DQ53" s="82"/>
      <c r="DR53" s="82"/>
      <c r="DS53" s="82"/>
      <c r="DT53" s="82"/>
      <c r="DU53" s="82"/>
      <c r="DV53" s="82"/>
      <c r="DW53"/>
      <c r="DX53"/>
      <c r="DY53"/>
      <c r="DZ53"/>
      <c r="EA53"/>
      <c r="EB53"/>
      <c r="EL53" s="52"/>
      <c r="EM53" s="52"/>
      <c r="EN53" s="52"/>
      <c r="EO53" s="52"/>
      <c r="EP53" s="52"/>
      <c r="EQ53" s="52"/>
      <c r="ER53" s="52"/>
      <c r="ES53" s="52"/>
      <c r="ET53" s="52"/>
      <c r="EU53" s="52"/>
    </row>
    <row r="54" spans="104:151" ht="18" customHeight="1" x14ac:dyDescent="0.25">
      <c r="CZ54"/>
      <c r="DA54"/>
      <c r="DB54"/>
      <c r="DD54" s="82"/>
      <c r="DE54" s="82"/>
      <c r="DF54" s="82"/>
      <c r="DG54" s="82"/>
      <c r="DH54" s="82"/>
      <c r="DI54" s="82"/>
      <c r="DJ54" s="82"/>
      <c r="DK54" s="82"/>
      <c r="DL54" s="82"/>
      <c r="DM54" s="82"/>
      <c r="DN54" s="82"/>
      <c r="DO54" s="82"/>
      <c r="DP54" s="82"/>
      <c r="DQ54" s="82"/>
      <c r="DR54" s="82"/>
      <c r="DS54" s="82"/>
      <c r="DT54" s="82"/>
      <c r="DU54" s="82"/>
      <c r="DV54" s="82"/>
      <c r="DW54"/>
      <c r="DX54"/>
      <c r="DY54"/>
      <c r="DZ54"/>
      <c r="EA54"/>
      <c r="EB54"/>
      <c r="EL54" s="52"/>
      <c r="EM54" s="52"/>
      <c r="EN54" s="52"/>
      <c r="EO54" s="52"/>
      <c r="EP54" s="52"/>
      <c r="EQ54" s="52"/>
      <c r="ER54" s="52"/>
      <c r="ES54" s="52"/>
      <c r="ET54" s="52"/>
      <c r="EU54" s="52"/>
    </row>
    <row r="55" spans="104:151" ht="18" customHeight="1" x14ac:dyDescent="0.25">
      <c r="CZ55"/>
      <c r="DA55"/>
      <c r="DB55"/>
      <c r="DD55" s="82"/>
      <c r="DE55" s="82"/>
      <c r="DF55" s="82"/>
      <c r="DG55" s="82"/>
      <c r="DH55" s="82"/>
      <c r="DI55" s="82"/>
      <c r="DJ55" s="82"/>
      <c r="DK55" s="82"/>
      <c r="DL55" s="82"/>
      <c r="DM55" s="82"/>
      <c r="DN55" s="82"/>
      <c r="DO55" s="82"/>
      <c r="DP55" s="82"/>
      <c r="DQ55" s="82"/>
      <c r="DR55" s="82"/>
      <c r="DS55" s="82"/>
      <c r="DT55" s="82"/>
      <c r="DU55" s="82"/>
      <c r="DV55" s="82"/>
      <c r="DW55"/>
      <c r="DX55"/>
      <c r="DY55"/>
      <c r="DZ55"/>
      <c r="EA55"/>
      <c r="EB55"/>
      <c r="EL55" s="52"/>
      <c r="EM55" s="52"/>
      <c r="EN55" s="52"/>
      <c r="EO55" s="52"/>
      <c r="EP55" s="52"/>
      <c r="EQ55" s="52"/>
      <c r="ER55" s="52"/>
      <c r="ES55" s="52"/>
      <c r="ET55" s="52"/>
      <c r="EU55" s="52"/>
    </row>
    <row r="56" spans="104:151" ht="18" customHeight="1" x14ac:dyDescent="0.25">
      <c r="CZ56"/>
      <c r="DA56"/>
      <c r="DB56"/>
      <c r="DD56" s="82"/>
      <c r="DE56" s="82"/>
      <c r="DF56" s="82"/>
      <c r="DG56" s="82"/>
      <c r="DH56" s="82"/>
      <c r="DI56" s="82"/>
      <c r="DJ56" s="82"/>
      <c r="DK56" s="82"/>
      <c r="DL56" s="82"/>
      <c r="DM56" s="82"/>
      <c r="DN56" s="82"/>
      <c r="DO56" s="82"/>
      <c r="DP56" s="82"/>
      <c r="DQ56" s="82"/>
      <c r="DR56" s="82"/>
      <c r="DS56" s="82"/>
      <c r="DT56" s="82"/>
      <c r="DU56" s="82"/>
      <c r="DV56" s="82"/>
      <c r="DW56"/>
      <c r="DX56"/>
      <c r="DY56"/>
      <c r="DZ56"/>
      <c r="EA56"/>
      <c r="EB56"/>
      <c r="EL56" s="52"/>
      <c r="EM56" s="52"/>
      <c r="EN56" s="52"/>
      <c r="EO56" s="52"/>
      <c r="EP56" s="52"/>
      <c r="EQ56" s="52"/>
      <c r="ER56" s="52"/>
      <c r="ES56" s="52"/>
      <c r="ET56" s="52"/>
      <c r="EU56" s="52"/>
    </row>
    <row r="57" spans="104:151" ht="18" customHeight="1" x14ac:dyDescent="0.25">
      <c r="CZ57"/>
      <c r="DA57"/>
      <c r="DB57"/>
      <c r="DD57" s="82"/>
      <c r="DE57" s="82"/>
      <c r="DF57" s="82"/>
      <c r="DG57" s="82"/>
      <c r="DH57" s="82"/>
      <c r="DI57" s="82"/>
      <c r="DJ57" s="82"/>
      <c r="DK57" s="82"/>
      <c r="DL57" s="82"/>
      <c r="DM57" s="82"/>
      <c r="DN57" s="82"/>
      <c r="DO57" s="82"/>
      <c r="DP57" s="82"/>
      <c r="DQ57" s="82"/>
      <c r="DR57" s="82"/>
      <c r="DS57" s="82"/>
      <c r="DT57" s="82"/>
      <c r="DU57" s="82"/>
      <c r="DV57" s="82"/>
      <c r="DW57"/>
      <c r="DX57"/>
      <c r="DY57"/>
      <c r="DZ57"/>
      <c r="EA57"/>
      <c r="EB57"/>
      <c r="EL57" s="52"/>
      <c r="EM57" s="52"/>
      <c r="EN57" s="52"/>
      <c r="EO57" s="52"/>
      <c r="EP57" s="52"/>
      <c r="EQ57" s="52"/>
      <c r="ER57" s="52"/>
      <c r="ES57" s="52"/>
      <c r="ET57" s="52"/>
      <c r="EU57" s="52"/>
    </row>
    <row r="58" spans="104:151" ht="18" customHeight="1" x14ac:dyDescent="0.25">
      <c r="CZ58"/>
      <c r="DA58"/>
      <c r="DB58"/>
      <c r="DD58" s="82"/>
      <c r="DE58" s="82"/>
      <c r="DF58" s="82"/>
      <c r="DG58" s="82"/>
      <c r="DH58" s="82"/>
      <c r="DI58" s="82"/>
      <c r="DJ58" s="82"/>
      <c r="DK58" s="82"/>
      <c r="DL58" s="82"/>
      <c r="DM58" s="82"/>
      <c r="DN58" s="82"/>
      <c r="DO58" s="82"/>
      <c r="DP58" s="82"/>
      <c r="DQ58" s="82"/>
      <c r="DR58" s="82"/>
      <c r="DS58" s="82"/>
      <c r="DT58" s="82"/>
      <c r="DU58" s="82"/>
      <c r="DV58" s="82"/>
      <c r="DW58"/>
      <c r="DX58"/>
      <c r="DY58"/>
      <c r="DZ58"/>
      <c r="EA58"/>
      <c r="EB58"/>
      <c r="EL58" s="52"/>
      <c r="EM58" s="52"/>
      <c r="EN58" s="52"/>
      <c r="EO58" s="52"/>
      <c r="EP58" s="52"/>
      <c r="EQ58" s="52"/>
      <c r="ER58" s="52"/>
      <c r="ES58" s="52"/>
      <c r="ET58" s="52"/>
      <c r="EU58" s="52"/>
    </row>
    <row r="59" spans="104:151" ht="18" customHeight="1" x14ac:dyDescent="0.25">
      <c r="CZ59"/>
      <c r="DA59"/>
      <c r="DB59"/>
      <c r="DD59" s="82"/>
      <c r="DE59" s="82"/>
      <c r="DF59" s="82"/>
      <c r="DG59" s="82"/>
      <c r="DH59" s="82"/>
      <c r="DI59" s="82"/>
      <c r="DJ59" s="82"/>
      <c r="DK59" s="82"/>
      <c r="DL59" s="82"/>
      <c r="DM59" s="82"/>
      <c r="DN59" s="82"/>
      <c r="DO59" s="82"/>
      <c r="DP59" s="82"/>
      <c r="DQ59" s="82"/>
      <c r="DR59" s="82"/>
      <c r="DS59" s="82"/>
      <c r="DT59" s="82"/>
      <c r="DU59" s="82"/>
      <c r="DV59" s="82"/>
      <c r="DW59"/>
      <c r="DX59"/>
      <c r="DY59"/>
      <c r="DZ59"/>
      <c r="EA59"/>
      <c r="EB59"/>
      <c r="EL59" s="52"/>
      <c r="EM59" s="52"/>
      <c r="EN59" s="52"/>
      <c r="EO59" s="52"/>
      <c r="EP59" s="52"/>
      <c r="EQ59" s="52"/>
      <c r="ER59" s="52"/>
      <c r="ES59" s="52"/>
      <c r="ET59" s="52"/>
      <c r="EU59" s="52"/>
    </row>
    <row r="60" spans="104:151" ht="18" customHeight="1" x14ac:dyDescent="0.25">
      <c r="CZ60"/>
      <c r="DA60"/>
      <c r="DB60"/>
      <c r="DD60" s="82"/>
      <c r="DE60" s="82"/>
      <c r="DF60" s="82"/>
      <c r="DG60" s="82"/>
      <c r="DH60" s="82"/>
      <c r="DI60" s="82"/>
      <c r="DJ60" s="82"/>
      <c r="DK60" s="82"/>
      <c r="DL60" s="82"/>
      <c r="DM60" s="82"/>
      <c r="DN60" s="82"/>
      <c r="DO60" s="82"/>
      <c r="DP60" s="82"/>
      <c r="DQ60" s="82"/>
      <c r="DR60" s="82"/>
      <c r="DS60" s="82"/>
      <c r="DT60" s="82"/>
      <c r="DU60" s="82"/>
      <c r="DV60" s="82"/>
      <c r="DW60"/>
      <c r="DX60"/>
      <c r="DY60"/>
      <c r="DZ60"/>
      <c r="EA60"/>
      <c r="EB60"/>
      <c r="EL60" s="52"/>
      <c r="EM60" s="52"/>
      <c r="EN60" s="52"/>
      <c r="EO60" s="52"/>
      <c r="EP60" s="52"/>
      <c r="EQ60" s="52"/>
      <c r="ER60" s="52"/>
      <c r="ES60" s="52"/>
      <c r="ET60" s="52"/>
      <c r="EU60" s="52"/>
    </row>
    <row r="61" spans="104:151" ht="18" customHeight="1" x14ac:dyDescent="0.25">
      <c r="CZ61"/>
      <c r="DA61"/>
      <c r="DB61"/>
      <c r="DD61" s="82"/>
      <c r="DE61" s="82"/>
      <c r="DF61" s="82"/>
      <c r="DG61" s="82"/>
      <c r="DH61" s="82"/>
      <c r="DI61" s="82"/>
      <c r="DJ61" s="82"/>
      <c r="DK61" s="82"/>
      <c r="DL61" s="82"/>
      <c r="DM61" s="82"/>
      <c r="DN61" s="82"/>
      <c r="DO61" s="82"/>
      <c r="DP61" s="82"/>
      <c r="DQ61" s="82"/>
      <c r="DR61" s="82"/>
      <c r="DS61" s="82"/>
      <c r="DT61" s="82"/>
      <c r="DU61" s="82"/>
      <c r="DV61" s="82"/>
      <c r="DW61"/>
      <c r="DX61"/>
      <c r="DY61"/>
      <c r="DZ61"/>
      <c r="EA61"/>
      <c r="EB61"/>
      <c r="EL61" s="52"/>
      <c r="EM61" s="52"/>
      <c r="EN61" s="52"/>
      <c r="EO61" s="52"/>
      <c r="EP61" s="52"/>
      <c r="EQ61" s="52"/>
      <c r="ER61" s="52"/>
      <c r="ES61" s="52"/>
      <c r="ET61" s="52"/>
      <c r="EU61" s="52"/>
    </row>
    <row r="62" spans="104:151" ht="18" customHeight="1" x14ac:dyDescent="0.25">
      <c r="CZ62"/>
      <c r="DA62"/>
      <c r="DB62"/>
      <c r="DD62" s="82"/>
      <c r="DE62" s="82"/>
      <c r="DF62" s="82"/>
      <c r="DG62" s="82"/>
      <c r="DH62" s="82"/>
      <c r="DI62" s="82"/>
      <c r="DJ62" s="82"/>
      <c r="DK62" s="82"/>
      <c r="DL62" s="82"/>
      <c r="DM62" s="82"/>
      <c r="DN62" s="82"/>
      <c r="DO62" s="82"/>
      <c r="DP62" s="82"/>
      <c r="DQ62" s="82"/>
      <c r="DR62" s="82"/>
      <c r="DS62" s="82"/>
      <c r="DT62" s="82"/>
      <c r="DU62" s="82"/>
      <c r="DV62" s="82"/>
      <c r="DW62"/>
      <c r="DX62"/>
      <c r="DY62"/>
      <c r="DZ62"/>
      <c r="EA62"/>
      <c r="EB62"/>
      <c r="EL62" s="52"/>
      <c r="EM62" s="52"/>
      <c r="EN62" s="52"/>
      <c r="EO62" s="52"/>
      <c r="EP62" s="52"/>
      <c r="EQ62" s="52"/>
      <c r="ER62" s="52"/>
      <c r="ES62" s="52"/>
      <c r="ET62" s="52"/>
      <c r="EU62" s="52"/>
    </row>
    <row r="63" spans="104:151" ht="18" customHeight="1" x14ac:dyDescent="0.25">
      <c r="CZ63"/>
      <c r="DA63"/>
      <c r="DB63"/>
      <c r="DD63" s="82"/>
      <c r="DE63" s="82"/>
      <c r="DF63" s="82"/>
      <c r="DG63" s="82"/>
      <c r="DH63" s="82"/>
      <c r="DI63" s="82"/>
      <c r="DJ63" s="82"/>
      <c r="DK63" s="82"/>
      <c r="DL63" s="82"/>
      <c r="DM63" s="82"/>
      <c r="DN63" s="82"/>
      <c r="DO63" s="82"/>
      <c r="DP63" s="82"/>
      <c r="DQ63" s="82"/>
      <c r="DR63" s="82"/>
      <c r="DS63" s="82"/>
      <c r="DT63" s="82"/>
      <c r="DU63" s="82"/>
      <c r="DV63" s="82"/>
      <c r="DW63"/>
      <c r="DX63"/>
      <c r="DY63"/>
      <c r="DZ63"/>
      <c r="EA63"/>
      <c r="EB63"/>
      <c r="EL63" s="52"/>
      <c r="EM63" s="52"/>
      <c r="EN63" s="52"/>
      <c r="EO63" s="52"/>
      <c r="EP63" s="52"/>
      <c r="EQ63" s="52"/>
      <c r="ER63" s="52"/>
      <c r="ES63" s="52"/>
      <c r="ET63" s="52"/>
      <c r="EU63" s="52"/>
    </row>
    <row r="64" spans="104:151" ht="18" customHeight="1" x14ac:dyDescent="0.25">
      <c r="DD64" s="82"/>
      <c r="DE64" s="82"/>
      <c r="DS64"/>
      <c r="DT64"/>
      <c r="EC64" s="52"/>
      <c r="ED64" s="52"/>
    </row>
  </sheetData>
  <mergeCells count="78">
    <mergeCell ref="A32:H33"/>
    <mergeCell ref="X3:X4"/>
    <mergeCell ref="A30:H31"/>
    <mergeCell ref="T3:V4"/>
    <mergeCell ref="M3:O4"/>
    <mergeCell ref="EG1:EP2"/>
    <mergeCell ref="BN3:BN4"/>
    <mergeCell ref="BM3:BM4"/>
    <mergeCell ref="BK3:BK4"/>
    <mergeCell ref="BR3:BR4"/>
    <mergeCell ref="BS3:BS4"/>
    <mergeCell ref="BQ3:BQ4"/>
    <mergeCell ref="BY3:BY4"/>
    <mergeCell ref="BT3:BT4"/>
    <mergeCell ref="BU3:BU4"/>
    <mergeCell ref="BV3:BV4"/>
    <mergeCell ref="BW3:BW4"/>
    <mergeCell ref="BX3:BX4"/>
    <mergeCell ref="DF1:DO2"/>
    <mergeCell ref="CJ1:DC2"/>
    <mergeCell ref="BG1:CF2"/>
    <mergeCell ref="CM3:CY6"/>
    <mergeCell ref="CT8:CT10"/>
    <mergeCell ref="CM8:CM10"/>
    <mergeCell ref="CU8:CU10"/>
    <mergeCell ref="B3:B4"/>
    <mergeCell ref="D3:D4"/>
    <mergeCell ref="E3:E4"/>
    <mergeCell ref="F3:F4"/>
    <mergeCell ref="BP3:BP4"/>
    <mergeCell ref="BJ3:BJ4"/>
    <mergeCell ref="BL3:BL4"/>
    <mergeCell ref="BH3:BH4"/>
    <mergeCell ref="BG3:BG4"/>
    <mergeCell ref="BO3:BO4"/>
    <mergeCell ref="BI3:BI4"/>
    <mergeCell ref="I3:I4"/>
    <mergeCell ref="CJ8:CJ10"/>
    <mergeCell ref="CK8:CK10"/>
    <mergeCell ref="CL8:CL10"/>
    <mergeCell ref="BZ3:BZ4"/>
    <mergeCell ref="CA3:CA4"/>
    <mergeCell ref="CB3:CB4"/>
    <mergeCell ref="CF3:CF4"/>
    <mergeCell ref="CC3:CC4"/>
    <mergeCell ref="CD3:CD4"/>
    <mergeCell ref="CE3:CE4"/>
    <mergeCell ref="CJ3:CL6"/>
    <mergeCell ref="DA8:DA10"/>
    <mergeCell ref="DB8:DB10"/>
    <mergeCell ref="DC8:DC10"/>
    <mergeCell ref="CZ3:DC3"/>
    <mergeCell ref="CZ4:DC4"/>
    <mergeCell ref="CZ5:DC5"/>
    <mergeCell ref="CZ6:DC6"/>
    <mergeCell ref="CZ8:CZ10"/>
    <mergeCell ref="CV8:CV10"/>
    <mergeCell ref="CW8:CW10"/>
    <mergeCell ref="CX8:CX10"/>
    <mergeCell ref="CY8:CY10"/>
    <mergeCell ref="CN8:CN10"/>
    <mergeCell ref="CO8:CO10"/>
    <mergeCell ref="CP8:CP10"/>
    <mergeCell ref="CS8:CS10"/>
    <mergeCell ref="CQ8:CQ10"/>
    <mergeCell ref="CR8:CR10"/>
    <mergeCell ref="AU3:AU4"/>
    <mergeCell ref="A1:E2"/>
    <mergeCell ref="H3:H4"/>
    <mergeCell ref="W3:W4"/>
    <mergeCell ref="A3:A4"/>
    <mergeCell ref="G3:G4"/>
    <mergeCell ref="J3:K4"/>
    <mergeCell ref="L3:L4"/>
    <mergeCell ref="C3:C4"/>
    <mergeCell ref="P3:Q3"/>
    <mergeCell ref="R3:R4"/>
    <mergeCell ref="S3:S4"/>
  </mergeCells>
  <phoneticPr fontId="50" type="noConversion"/>
  <dataValidations count="1">
    <dataValidation type="list" allowBlank="1" showInputMessage="1" showErrorMessage="1" sqref="Y5:AS20" xr:uid="{3F75FCB9-561F-4353-9D05-92FE162B1CD9}">
      <formula1>$AD$1:$AE$1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unka1.Gomb1_Kattintás">
                <anchor moveWithCells="1" sizeWithCells="1">
                  <from>
                    <xdr:col>0</xdr:col>
                    <xdr:colOff>552450</xdr:colOff>
                    <xdr:row>22</xdr:row>
                    <xdr:rowOff>19050</xdr:rowOff>
                  </from>
                  <to>
                    <xdr:col>0</xdr:col>
                    <xdr:colOff>2152650</xdr:colOff>
                    <xdr:row>24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5B83FB3-600D-43E7-885E-C498B794A9BA}">
          <x14:formula1>
            <xm:f>mintahelyek!$F$3:$F$5</xm:f>
          </x14:formula1>
          <xm:sqref>L5:L20</xm:sqref>
        </x14:dataValidation>
        <x14:dataValidation type="list" allowBlank="1" showInputMessage="1" showErrorMessage="1" xr:uid="{0592B667-A9B1-4A83-AC6B-637F3DFE5E92}">
          <x14:formula1>
            <xm:f>mintahelyek!$L$3:$L$7</xm:f>
          </x14:formula1>
          <xm:sqref>P5:P20</xm:sqref>
        </x14:dataValidation>
        <x14:dataValidation type="list" allowBlank="1" showInputMessage="1" showErrorMessage="1" xr:uid="{5C6A4703-B9D9-42B0-8F9D-E9E374E724FD}">
          <x14:formula1>
            <xm:f>mintahelyek!$N$3:$N$8</xm:f>
          </x14:formula1>
          <xm:sqref>G5:G20</xm:sqref>
        </x14:dataValidation>
        <x14:dataValidation type="list" allowBlank="1" showInputMessage="1" showErrorMessage="1" xr:uid="{CBC7F703-74CD-4179-8AED-A7DA00CFCAA4}">
          <x14:formula1>
            <xm:f>mintahelyek!$R$3:$R$6</xm:f>
          </x14:formula1>
          <xm:sqref>S5:S20</xm:sqref>
        </x14:dataValidation>
        <x14:dataValidation type="list" allowBlank="1" showInputMessage="1" showErrorMessage="1" xr:uid="{EC7453B0-B5ED-4104-A278-A50C547B0248}">
          <x14:formula1>
            <xm:f>mintahelyek!$Y$3:$Y$99</xm:f>
          </x14:formula1>
          <xm:sqref>A5:A20</xm:sqref>
        </x14:dataValidation>
        <x14:dataValidation type="list" allowBlank="1" showInputMessage="1" showErrorMessage="1" xr:uid="{0F6B4854-34B2-455C-80AB-BA48BA88F10B}">
          <x14:formula1>
            <xm:f>mintahelyek!$AN$3:$AN$23</xm:f>
          </x14:formula1>
          <xm:sqref>X5:X20</xm:sqref>
        </x14:dataValidation>
        <x14:dataValidation type="list" allowBlank="1" showInputMessage="1" showErrorMessage="1" xr:uid="{D52613F1-5DA7-4E9F-884D-4ED6D3FE888E}">
          <x14:formula1>
            <xm:f>mintahelyek!$H$4:$H$8</xm:f>
          </x14:formula1>
          <xm:sqref>M5:M20</xm:sqref>
        </x14:dataValidation>
        <x14:dataValidation type="list" allowBlank="1" showInputMessage="1" showErrorMessage="1" xr:uid="{53C318E2-9772-46EA-AC03-BFEAFE15E55D}">
          <x14:formula1>
            <xm:f>mintahelyek!$T$4:$T$9</xm:f>
          </x14:formula1>
          <xm:sqref>T5:T20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D8418-F28A-4D75-97BB-90B5A0E87618}">
  <sheetPr codeName="Munka17">
    <pageSetUpPr fitToPage="1"/>
  </sheetPr>
  <dimension ref="A1:FY45"/>
  <sheetViews>
    <sheetView tabSelected="1" zoomScale="80" zoomScaleNormal="80" workbookViewId="0">
      <selection activeCell="A13" sqref="A13"/>
    </sheetView>
  </sheetViews>
  <sheetFormatPr defaultColWidth="9.140625" defaultRowHeight="18" customHeight="1" x14ac:dyDescent="0.25"/>
  <cols>
    <col min="1" max="1" width="14" bestFit="1" customWidth="1"/>
    <col min="2" max="2" width="8.7109375" bestFit="1" customWidth="1"/>
    <col min="3" max="3" width="9.28515625" customWidth="1"/>
    <col min="5" max="5" width="9.5703125" customWidth="1"/>
    <col min="6" max="6" width="7.85546875" bestFit="1" customWidth="1"/>
    <col min="7" max="7" width="12.42578125" customWidth="1"/>
    <col min="8" max="8" width="9.85546875" bestFit="1" customWidth="1"/>
    <col min="9" max="9" width="9.7109375" bestFit="1" customWidth="1"/>
    <col min="10" max="10" width="15" customWidth="1"/>
    <col min="11" max="11" width="9" bestFit="1" customWidth="1"/>
    <col min="12" max="12" width="9.5703125" customWidth="1"/>
    <col min="13" max="13" width="17.7109375" bestFit="1" customWidth="1"/>
    <col min="14" max="14" width="12.140625" bestFit="1" customWidth="1"/>
    <col min="15" max="15" width="16.140625" bestFit="1" customWidth="1"/>
    <col min="16" max="16" width="13.28515625" bestFit="1" customWidth="1"/>
    <col min="17" max="17" width="6.7109375" bestFit="1" customWidth="1"/>
    <col min="18" max="18" width="14.5703125" customWidth="1"/>
    <col min="19" max="19" width="9.5703125" customWidth="1"/>
    <col min="20" max="20" width="14.28515625" bestFit="1" customWidth="1"/>
    <col min="21" max="22" width="9.5703125" customWidth="1"/>
    <col min="23" max="23" width="49.42578125" customWidth="1"/>
    <col min="24" max="24" width="13.42578125" bestFit="1" customWidth="1"/>
    <col min="25" max="25" width="9.5703125" customWidth="1"/>
    <col min="26" max="26" width="16.28515625" bestFit="1" customWidth="1"/>
    <col min="27" max="27" width="11.5703125" bestFit="1" customWidth="1"/>
    <col min="28" max="28" width="15.28515625" customWidth="1"/>
    <col min="29" max="29" width="9.5703125" customWidth="1"/>
    <col min="30" max="86" width="6.85546875" customWidth="1"/>
    <col min="87" max="106" width="6.85546875" style="82" customWidth="1"/>
    <col min="107" max="121" width="6.85546875" customWidth="1"/>
    <col min="122" max="131" width="6.85546875" style="52" customWidth="1"/>
    <col min="132" max="181" width="6.85546875" customWidth="1"/>
  </cols>
  <sheetData>
    <row r="1" spans="1:181" s="30" customFormat="1" ht="18" customHeight="1" x14ac:dyDescent="0.5">
      <c r="A1" s="30" t="s">
        <v>44</v>
      </c>
      <c r="BJ1" s="380"/>
      <c r="BP1" s="380"/>
      <c r="BQ1" s="380"/>
      <c r="BR1" s="380"/>
      <c r="BS1" s="380"/>
      <c r="BT1" s="380"/>
      <c r="BU1" s="380"/>
      <c r="CM1" s="381"/>
      <c r="CN1" s="381"/>
      <c r="CO1" s="381"/>
      <c r="CP1" s="382"/>
      <c r="CQ1" s="382"/>
      <c r="CR1" s="381"/>
      <c r="CS1" s="381"/>
      <c r="CT1" s="381"/>
      <c r="CU1" s="381"/>
      <c r="CV1" s="381"/>
      <c r="CW1" s="381"/>
      <c r="CX1" s="381"/>
      <c r="CY1" s="381"/>
      <c r="CZ1" s="381"/>
      <c r="DA1" s="381"/>
      <c r="DB1" s="381"/>
      <c r="DC1" s="381"/>
      <c r="DD1" s="381"/>
      <c r="DE1" s="381"/>
      <c r="DF1" s="381"/>
      <c r="DV1" s="383"/>
      <c r="DW1" s="383"/>
      <c r="DX1" s="383"/>
      <c r="DY1" s="383"/>
      <c r="DZ1" s="383"/>
      <c r="EA1" s="383"/>
      <c r="EB1" s="383"/>
      <c r="EC1" s="383"/>
      <c r="ED1" s="383"/>
      <c r="EE1" s="383"/>
    </row>
    <row r="2" spans="1:181" s="52" customFormat="1" ht="18" customHeight="1" x14ac:dyDescent="0.25">
      <c r="A2" s="33" t="s">
        <v>374</v>
      </c>
      <c r="B2" s="401" t="s">
        <v>936</v>
      </c>
      <c r="C2" s="33" t="s">
        <v>278</v>
      </c>
      <c r="D2" s="33" t="s">
        <v>279</v>
      </c>
      <c r="E2" s="403" t="s">
        <v>937</v>
      </c>
      <c r="F2" s="33" t="s">
        <v>280</v>
      </c>
      <c r="G2" s="33" t="s">
        <v>375</v>
      </c>
      <c r="H2" s="401" t="s">
        <v>938</v>
      </c>
      <c r="I2" s="401" t="s">
        <v>939</v>
      </c>
      <c r="J2" s="401" t="s">
        <v>940</v>
      </c>
      <c r="K2" s="33" t="s">
        <v>281</v>
      </c>
      <c r="L2" s="403" t="s">
        <v>937</v>
      </c>
      <c r="M2" s="401" t="s">
        <v>951</v>
      </c>
      <c r="N2" s="401" t="s">
        <v>978</v>
      </c>
      <c r="O2" s="401" t="s">
        <v>942</v>
      </c>
      <c r="P2" s="401" t="s">
        <v>943</v>
      </c>
      <c r="Q2" s="33" t="s">
        <v>376</v>
      </c>
      <c r="R2" s="401" t="s">
        <v>944</v>
      </c>
      <c r="S2" s="403" t="s">
        <v>937</v>
      </c>
      <c r="T2" s="401" t="s">
        <v>945</v>
      </c>
      <c r="U2" s="402" t="s">
        <v>377</v>
      </c>
      <c r="V2" s="402" t="s">
        <v>377</v>
      </c>
      <c r="W2" s="401" t="s">
        <v>946</v>
      </c>
      <c r="X2" s="33" t="s">
        <v>284</v>
      </c>
      <c r="Y2" s="403" t="s">
        <v>937</v>
      </c>
      <c r="Z2" s="401" t="s">
        <v>979</v>
      </c>
      <c r="AA2" s="401" t="s">
        <v>947</v>
      </c>
      <c r="AB2" s="401" t="s">
        <v>959</v>
      </c>
      <c r="AC2" s="403" t="s">
        <v>937</v>
      </c>
      <c r="AD2" s="98" t="s">
        <v>44</v>
      </c>
      <c r="AE2" s="98" t="s">
        <v>44</v>
      </c>
      <c r="AF2" s="98" t="s">
        <v>44</v>
      </c>
      <c r="AG2" s="98" t="s">
        <v>44</v>
      </c>
      <c r="AH2" s="98" t="s">
        <v>44</v>
      </c>
      <c r="AI2" s="169" t="s">
        <v>538</v>
      </c>
      <c r="AJ2" s="169" t="s">
        <v>539</v>
      </c>
      <c r="AK2" s="169" t="s">
        <v>540</v>
      </c>
      <c r="AL2" s="169" t="s">
        <v>541</v>
      </c>
      <c r="AM2" s="169" t="s">
        <v>542</v>
      </c>
      <c r="AN2" s="169" t="s">
        <v>543</v>
      </c>
      <c r="AO2" s="169" t="s">
        <v>544</v>
      </c>
      <c r="AP2" s="169" t="s">
        <v>545</v>
      </c>
      <c r="AQ2" s="169" t="s">
        <v>546</v>
      </c>
      <c r="AR2" s="169" t="s">
        <v>547</v>
      </c>
      <c r="AS2" s="169" t="s">
        <v>548</v>
      </c>
      <c r="AT2" s="169" t="s">
        <v>549</v>
      </c>
      <c r="AU2" s="169" t="s">
        <v>550</v>
      </c>
      <c r="AV2" s="169" t="s">
        <v>551</v>
      </c>
      <c r="AW2" s="169" t="s">
        <v>552</v>
      </c>
      <c r="AX2" s="169" t="s">
        <v>553</v>
      </c>
      <c r="AY2" s="169" t="s">
        <v>554</v>
      </c>
      <c r="AZ2" s="169" t="s">
        <v>555</v>
      </c>
      <c r="BA2" s="169" t="s">
        <v>556</v>
      </c>
      <c r="BB2" s="169" t="s">
        <v>557</v>
      </c>
      <c r="BC2" s="169" t="s">
        <v>558</v>
      </c>
      <c r="BD2" s="169" t="s">
        <v>559</v>
      </c>
      <c r="BE2" s="169" t="s">
        <v>560</v>
      </c>
      <c r="BF2" s="169" t="s">
        <v>561</v>
      </c>
      <c r="BG2" s="169" t="s">
        <v>562</v>
      </c>
      <c r="BH2" s="169" t="s">
        <v>113</v>
      </c>
      <c r="BI2" s="169" t="s">
        <v>563</v>
      </c>
      <c r="BJ2" s="169" t="s">
        <v>564</v>
      </c>
      <c r="BK2" s="169" t="s">
        <v>565</v>
      </c>
      <c r="BL2" s="169" t="s">
        <v>566</v>
      </c>
      <c r="BM2" s="169" t="s">
        <v>18</v>
      </c>
      <c r="BN2" s="169" t="s">
        <v>567</v>
      </c>
      <c r="BO2" s="169" t="s">
        <v>568</v>
      </c>
      <c r="BP2" s="169" t="s">
        <v>569</v>
      </c>
      <c r="BQ2" s="169" t="s">
        <v>570</v>
      </c>
      <c r="BR2" s="169" t="s">
        <v>571</v>
      </c>
      <c r="BS2" s="169" t="s">
        <v>572</v>
      </c>
      <c r="BT2" s="169" t="s">
        <v>573</v>
      </c>
      <c r="BU2" s="169" t="s">
        <v>172</v>
      </c>
      <c r="BV2" s="169" t="s">
        <v>574</v>
      </c>
      <c r="BW2" s="169" t="s">
        <v>575</v>
      </c>
      <c r="BX2" s="169" t="s">
        <v>576</v>
      </c>
      <c r="BY2" s="169" t="s">
        <v>577</v>
      </c>
      <c r="BZ2" s="169" t="s">
        <v>578</v>
      </c>
      <c r="CA2" s="169" t="s">
        <v>579</v>
      </c>
      <c r="CB2" s="169" t="s">
        <v>580</v>
      </c>
      <c r="CC2" s="169" t="s">
        <v>581</v>
      </c>
      <c r="CD2" s="169" t="s">
        <v>582</v>
      </c>
      <c r="CE2" s="169" t="s">
        <v>583</v>
      </c>
      <c r="CF2" s="169" t="s">
        <v>584</v>
      </c>
      <c r="CG2" s="169" t="s">
        <v>585</v>
      </c>
      <c r="CH2" s="169" t="s">
        <v>586</v>
      </c>
      <c r="CI2" s="169" t="s">
        <v>587</v>
      </c>
      <c r="CJ2" s="169" t="s">
        <v>588</v>
      </c>
      <c r="CK2" s="169" t="s">
        <v>589</v>
      </c>
      <c r="CL2" s="169" t="s">
        <v>590</v>
      </c>
      <c r="CM2" s="169" t="s">
        <v>591</v>
      </c>
      <c r="CN2" s="169" t="s">
        <v>592</v>
      </c>
      <c r="CO2" s="169" t="s">
        <v>593</v>
      </c>
      <c r="CP2" s="169" t="s">
        <v>594</v>
      </c>
      <c r="CQ2" s="169" t="s">
        <v>595</v>
      </c>
      <c r="CR2" s="169" t="s">
        <v>596</v>
      </c>
      <c r="CS2" s="169" t="s">
        <v>597</v>
      </c>
      <c r="CT2" s="169" t="s">
        <v>598</v>
      </c>
      <c r="CU2" s="169" t="s">
        <v>599</v>
      </c>
      <c r="CV2" s="169" t="s">
        <v>600</v>
      </c>
      <c r="CW2" s="169" t="s">
        <v>601</v>
      </c>
      <c r="CX2" s="169" t="s">
        <v>602</v>
      </c>
      <c r="CY2" s="169" t="s">
        <v>603</v>
      </c>
      <c r="CZ2" s="169" t="s">
        <v>604</v>
      </c>
      <c r="DA2" s="169" t="s">
        <v>435</v>
      </c>
      <c r="DB2" s="169" t="s">
        <v>605</v>
      </c>
      <c r="DC2" s="169" t="s">
        <v>606</v>
      </c>
      <c r="DD2" s="169" t="s">
        <v>607</v>
      </c>
      <c r="DE2" s="169" t="s">
        <v>608</v>
      </c>
      <c r="DF2" s="169" t="s">
        <v>609</v>
      </c>
      <c r="DG2" s="169" t="s">
        <v>610</v>
      </c>
      <c r="DH2" s="169" t="s">
        <v>611</v>
      </c>
      <c r="DI2" s="169" t="s">
        <v>612</v>
      </c>
      <c r="DJ2" s="169" t="s">
        <v>613</v>
      </c>
      <c r="DK2" s="169" t="s">
        <v>614</v>
      </c>
      <c r="DL2" s="169" t="s">
        <v>615</v>
      </c>
      <c r="DM2" s="169" t="s">
        <v>616</v>
      </c>
      <c r="DN2" s="169" t="s">
        <v>617</v>
      </c>
      <c r="DO2" s="169" t="s">
        <v>618</v>
      </c>
      <c r="DP2" s="169" t="s">
        <v>619</v>
      </c>
      <c r="DQ2" s="169" t="s">
        <v>620</v>
      </c>
      <c r="DR2" s="169" t="s">
        <v>621</v>
      </c>
      <c r="DS2" s="169" t="s">
        <v>622</v>
      </c>
      <c r="DT2" s="169" t="s">
        <v>623</v>
      </c>
      <c r="DU2" s="169" t="s">
        <v>624</v>
      </c>
      <c r="DV2" s="169" t="s">
        <v>625</v>
      </c>
      <c r="DW2" s="169" t="s">
        <v>626</v>
      </c>
      <c r="DX2" s="169" t="s">
        <v>627</v>
      </c>
      <c r="DY2" s="169" t="s">
        <v>628</v>
      </c>
      <c r="DZ2" s="169" t="s">
        <v>629</v>
      </c>
      <c r="EA2" s="169" t="s">
        <v>630</v>
      </c>
      <c r="EB2" s="169" t="s">
        <v>631</v>
      </c>
      <c r="EC2" s="169" t="s">
        <v>632</v>
      </c>
      <c r="ED2" s="169" t="s">
        <v>633</v>
      </c>
      <c r="EE2" s="169" t="s">
        <v>634</v>
      </c>
      <c r="EF2" s="169" t="s">
        <v>635</v>
      </c>
      <c r="EG2" s="169" t="s">
        <v>636</v>
      </c>
      <c r="EH2" s="169" t="s">
        <v>637</v>
      </c>
      <c r="EI2" s="169" t="s">
        <v>469</v>
      </c>
      <c r="EJ2" s="169" t="s">
        <v>638</v>
      </c>
      <c r="EK2" s="169" t="s">
        <v>639</v>
      </c>
      <c r="EL2" s="169" t="s">
        <v>640</v>
      </c>
      <c r="EM2" s="169" t="s">
        <v>641</v>
      </c>
      <c r="EN2" s="169" t="s">
        <v>642</v>
      </c>
      <c r="EO2" s="169" t="s">
        <v>643</v>
      </c>
      <c r="EP2" s="169" t="s">
        <v>644</v>
      </c>
      <c r="EQ2" s="169" t="s">
        <v>645</v>
      </c>
      <c r="ER2" s="169" t="s">
        <v>478</v>
      </c>
      <c r="ES2" s="169" t="s">
        <v>646</v>
      </c>
      <c r="ET2" s="169" t="s">
        <v>647</v>
      </c>
      <c r="EU2" s="169" t="s">
        <v>648</v>
      </c>
      <c r="EV2" s="169" t="s">
        <v>649</v>
      </c>
      <c r="EW2" s="169" t="s">
        <v>650</v>
      </c>
      <c r="EX2" s="169" t="s">
        <v>651</v>
      </c>
      <c r="EY2" s="169" t="s">
        <v>652</v>
      </c>
      <c r="EZ2" s="169" t="s">
        <v>653</v>
      </c>
      <c r="FA2" s="169" t="s">
        <v>654</v>
      </c>
      <c r="FB2" s="169" t="s">
        <v>655</v>
      </c>
      <c r="FC2" s="169" t="s">
        <v>656</v>
      </c>
      <c r="FD2" s="169" t="s">
        <v>657</v>
      </c>
      <c r="FE2" s="169" t="s">
        <v>658</v>
      </c>
      <c r="FF2" s="169" t="s">
        <v>659</v>
      </c>
      <c r="FG2" s="169" t="s">
        <v>660</v>
      </c>
      <c r="FH2" s="169" t="s">
        <v>661</v>
      </c>
      <c r="FI2" s="169" t="s">
        <v>662</v>
      </c>
      <c r="FJ2" s="169" t="s">
        <v>663</v>
      </c>
      <c r="FK2" s="169" t="s">
        <v>664</v>
      </c>
      <c r="FL2" s="169" t="s">
        <v>665</v>
      </c>
      <c r="FM2" s="169" t="s">
        <v>666</v>
      </c>
      <c r="FN2" s="169" t="s">
        <v>667</v>
      </c>
      <c r="FO2" s="169" t="s">
        <v>668</v>
      </c>
      <c r="FP2" s="169" t="s">
        <v>669</v>
      </c>
      <c r="FQ2" s="169" t="s">
        <v>670</v>
      </c>
      <c r="FR2" s="169" t="s">
        <v>671</v>
      </c>
      <c r="FS2" s="169" t="s">
        <v>672</v>
      </c>
      <c r="FT2" s="169" t="s">
        <v>673</v>
      </c>
      <c r="FU2" s="169" t="s">
        <v>674</v>
      </c>
      <c r="FV2" s="169" t="s">
        <v>675</v>
      </c>
      <c r="FW2" s="169" t="s">
        <v>676</v>
      </c>
      <c r="FX2" s="169" t="s">
        <v>677</v>
      </c>
      <c r="FY2" s="158" t="s">
        <v>511</v>
      </c>
    </row>
    <row r="3" spans="1:181" s="52" customFormat="1" ht="18" customHeight="1" x14ac:dyDescent="0.25">
      <c r="A3" s="33" t="s">
        <v>44</v>
      </c>
      <c r="B3" s="401" t="s">
        <v>44</v>
      </c>
      <c r="C3" s="33" t="s">
        <v>44</v>
      </c>
      <c r="D3" s="33" t="s">
        <v>44</v>
      </c>
      <c r="E3" s="403" t="s">
        <v>44</v>
      </c>
      <c r="F3" s="33" t="s">
        <v>44</v>
      </c>
      <c r="G3" s="33" t="s">
        <v>44</v>
      </c>
      <c r="H3" s="401" t="s">
        <v>44</v>
      </c>
      <c r="I3" s="401" t="s">
        <v>44</v>
      </c>
      <c r="J3" s="401" t="s">
        <v>44</v>
      </c>
      <c r="K3" s="33" t="s">
        <v>44</v>
      </c>
      <c r="L3" s="403" t="s">
        <v>44</v>
      </c>
      <c r="M3" s="401" t="s">
        <v>44</v>
      </c>
      <c r="N3" s="401" t="s">
        <v>44</v>
      </c>
      <c r="O3" s="401" t="s">
        <v>44</v>
      </c>
      <c r="P3" s="401" t="s">
        <v>44</v>
      </c>
      <c r="Q3" s="33" t="s">
        <v>44</v>
      </c>
      <c r="R3" s="401" t="s">
        <v>44</v>
      </c>
      <c r="S3" s="403" t="s">
        <v>44</v>
      </c>
      <c r="T3" s="401" t="s">
        <v>44</v>
      </c>
      <c r="U3" s="402" t="s">
        <v>44</v>
      </c>
      <c r="V3" s="402" t="s">
        <v>44</v>
      </c>
      <c r="W3" s="401" t="s">
        <v>44</v>
      </c>
      <c r="X3" s="33" t="s">
        <v>44</v>
      </c>
      <c r="Y3" s="403" t="s">
        <v>44</v>
      </c>
      <c r="Z3" s="401" t="s">
        <v>44</v>
      </c>
      <c r="AA3" s="401" t="s">
        <v>44</v>
      </c>
      <c r="AB3" s="401"/>
      <c r="AC3" s="403" t="s">
        <v>44</v>
      </c>
      <c r="AD3" s="98"/>
      <c r="AE3" s="98"/>
      <c r="AF3" s="98"/>
      <c r="AG3" s="98"/>
      <c r="AH3" s="404"/>
      <c r="AI3" s="169" t="s">
        <v>690</v>
      </c>
      <c r="AJ3" s="169" t="s">
        <v>690</v>
      </c>
      <c r="AK3" s="169" t="s">
        <v>691</v>
      </c>
      <c r="AL3" s="169" t="s">
        <v>690</v>
      </c>
      <c r="AM3" s="169" t="s">
        <v>691</v>
      </c>
      <c r="AN3" s="169" t="s">
        <v>690</v>
      </c>
      <c r="AO3" s="169" t="s">
        <v>690</v>
      </c>
      <c r="AP3" s="25" t="s">
        <v>681</v>
      </c>
      <c r="AQ3" s="25" t="s">
        <v>682</v>
      </c>
      <c r="AR3" s="25" t="s">
        <v>682</v>
      </c>
      <c r="AS3" s="25" t="s">
        <v>682</v>
      </c>
      <c r="AT3" s="25" t="s">
        <v>682</v>
      </c>
      <c r="AU3" s="25" t="s">
        <v>682</v>
      </c>
      <c r="AV3" s="25" t="s">
        <v>682</v>
      </c>
      <c r="AW3" s="25" t="s">
        <v>682</v>
      </c>
      <c r="AX3" s="25" t="s">
        <v>682</v>
      </c>
      <c r="AY3" s="25" t="s">
        <v>682</v>
      </c>
      <c r="AZ3" s="25" t="s">
        <v>682</v>
      </c>
      <c r="BA3" s="169" t="s">
        <v>44</v>
      </c>
      <c r="BB3" s="169" t="s">
        <v>692</v>
      </c>
      <c r="BC3" s="169" t="s">
        <v>692</v>
      </c>
      <c r="BD3" s="169" t="s">
        <v>692</v>
      </c>
      <c r="BE3" s="169" t="s">
        <v>692</v>
      </c>
      <c r="BF3" s="169" t="s">
        <v>692</v>
      </c>
      <c r="BG3" s="169" t="s">
        <v>692</v>
      </c>
      <c r="BH3" s="169" t="s">
        <v>683</v>
      </c>
      <c r="BI3" s="169" t="s">
        <v>693</v>
      </c>
      <c r="BJ3" s="169" t="s">
        <v>692</v>
      </c>
      <c r="BK3" s="169" t="s">
        <v>692</v>
      </c>
      <c r="BL3" s="169" t="s">
        <v>694</v>
      </c>
      <c r="BM3" s="169" t="s">
        <v>44</v>
      </c>
      <c r="BN3" s="169" t="s">
        <v>695</v>
      </c>
      <c r="BO3" s="169" t="s">
        <v>696</v>
      </c>
      <c r="BP3" s="169" t="s">
        <v>692</v>
      </c>
      <c r="BQ3" s="169" t="s">
        <v>687</v>
      </c>
      <c r="BR3" s="169" t="s">
        <v>44</v>
      </c>
      <c r="BS3" s="169" t="s">
        <v>44</v>
      </c>
      <c r="BT3" s="169" t="s">
        <v>44</v>
      </c>
      <c r="BU3" s="169" t="s">
        <v>692</v>
      </c>
      <c r="BV3" s="169" t="s">
        <v>692</v>
      </c>
      <c r="BW3" s="169" t="s">
        <v>692</v>
      </c>
      <c r="BX3" s="169" t="s">
        <v>692</v>
      </c>
      <c r="BY3" s="169" t="s">
        <v>692</v>
      </c>
      <c r="BZ3" s="169" t="s">
        <v>692</v>
      </c>
      <c r="CA3" s="169" t="s">
        <v>692</v>
      </c>
      <c r="CB3" s="169" t="s">
        <v>697</v>
      </c>
      <c r="CC3" s="169" t="s">
        <v>692</v>
      </c>
      <c r="CD3" s="169" t="s">
        <v>692</v>
      </c>
      <c r="CE3" s="169" t="s">
        <v>697</v>
      </c>
      <c r="CF3" s="169" t="s">
        <v>697</v>
      </c>
      <c r="CG3" s="169" t="s">
        <v>697</v>
      </c>
      <c r="CH3" s="169" t="s">
        <v>697</v>
      </c>
      <c r="CI3" s="169" t="s">
        <v>697</v>
      </c>
      <c r="CJ3" s="169" t="s">
        <v>692</v>
      </c>
      <c r="CK3" s="169" t="s">
        <v>697</v>
      </c>
      <c r="CL3" s="169" t="s">
        <v>697</v>
      </c>
      <c r="CM3" s="169" t="s">
        <v>697</v>
      </c>
      <c r="CN3" s="169" t="s">
        <v>697</v>
      </c>
      <c r="CO3" s="169" t="s">
        <v>697</v>
      </c>
      <c r="CP3" s="169" t="s">
        <v>698</v>
      </c>
      <c r="CQ3" s="169" t="s">
        <v>698</v>
      </c>
      <c r="CR3" s="169" t="s">
        <v>698</v>
      </c>
      <c r="CS3" s="169" t="s">
        <v>698</v>
      </c>
      <c r="CT3" s="169" t="s">
        <v>697</v>
      </c>
      <c r="CU3" s="169" t="s">
        <v>697</v>
      </c>
      <c r="CV3" s="169" t="s">
        <v>697</v>
      </c>
      <c r="CW3" s="169" t="s">
        <v>697</v>
      </c>
      <c r="CX3" s="169" t="s">
        <v>697</v>
      </c>
      <c r="CY3" s="169" t="s">
        <v>697</v>
      </c>
      <c r="CZ3" s="169" t="s">
        <v>697</v>
      </c>
      <c r="DA3" s="169" t="s">
        <v>697</v>
      </c>
      <c r="DB3" s="169" t="s">
        <v>697</v>
      </c>
      <c r="DC3" s="169" t="s">
        <v>697</v>
      </c>
      <c r="DD3" s="169" t="s">
        <v>697</v>
      </c>
      <c r="DE3" s="169" t="s">
        <v>697</v>
      </c>
      <c r="DF3" s="169" t="s">
        <v>697</v>
      </c>
      <c r="DG3" s="169" t="s">
        <v>697</v>
      </c>
      <c r="DH3" s="169" t="s">
        <v>697</v>
      </c>
      <c r="DI3" s="169" t="s">
        <v>697</v>
      </c>
      <c r="DJ3" s="169" t="s">
        <v>697</v>
      </c>
      <c r="DK3" s="169" t="s">
        <v>697</v>
      </c>
      <c r="DL3" s="169" t="s">
        <v>697</v>
      </c>
      <c r="DM3" s="169" t="s">
        <v>697</v>
      </c>
      <c r="DN3" s="169" t="s">
        <v>697</v>
      </c>
      <c r="DO3" s="169" t="s">
        <v>697</v>
      </c>
      <c r="DP3" s="169" t="s">
        <v>697</v>
      </c>
      <c r="DQ3" s="169" t="s">
        <v>697</v>
      </c>
      <c r="DR3" s="169" t="s">
        <v>697</v>
      </c>
      <c r="DS3" s="169" t="s">
        <v>697</v>
      </c>
      <c r="DT3" s="169" t="s">
        <v>697</v>
      </c>
      <c r="DU3" s="169" t="s">
        <v>697</v>
      </c>
      <c r="DV3" s="169" t="s">
        <v>697</v>
      </c>
      <c r="DW3" s="169" t="s">
        <v>697</v>
      </c>
      <c r="DX3" s="169" t="s">
        <v>697</v>
      </c>
      <c r="DY3" s="169" t="s">
        <v>697</v>
      </c>
      <c r="DZ3" s="169" t="s">
        <v>697</v>
      </c>
      <c r="EA3" s="169" t="s">
        <v>697</v>
      </c>
      <c r="EB3" s="169" t="s">
        <v>697</v>
      </c>
      <c r="EC3" s="169" t="s">
        <v>697</v>
      </c>
      <c r="ED3" s="169" t="s">
        <v>697</v>
      </c>
      <c r="EE3" s="169" t="s">
        <v>697</v>
      </c>
      <c r="EF3" s="169" t="s">
        <v>697</v>
      </c>
      <c r="EG3" s="169" t="s">
        <v>697</v>
      </c>
      <c r="EH3" s="169" t="s">
        <v>697</v>
      </c>
      <c r="EI3" s="169" t="s">
        <v>697</v>
      </c>
      <c r="EJ3" s="169" t="s">
        <v>697</v>
      </c>
      <c r="EK3" s="169" t="s">
        <v>697</v>
      </c>
      <c r="EL3" s="169" t="s">
        <v>697</v>
      </c>
      <c r="EM3" s="169" t="s">
        <v>697</v>
      </c>
      <c r="EN3" s="169" t="s">
        <v>697</v>
      </c>
      <c r="EO3" s="169" t="s">
        <v>697</v>
      </c>
      <c r="EP3" s="169" t="s">
        <v>697</v>
      </c>
      <c r="EQ3" s="169" t="s">
        <v>697</v>
      </c>
      <c r="ER3" s="169" t="s">
        <v>697</v>
      </c>
      <c r="ES3" s="169" t="s">
        <v>697</v>
      </c>
      <c r="ET3" s="169" t="s">
        <v>697</v>
      </c>
      <c r="EU3" s="169" t="s">
        <v>697</v>
      </c>
      <c r="EV3" s="169" t="s">
        <v>697</v>
      </c>
      <c r="EW3" s="169" t="s">
        <v>697</v>
      </c>
      <c r="EX3" s="169" t="s">
        <v>697</v>
      </c>
      <c r="EY3" s="169" t="s">
        <v>697</v>
      </c>
      <c r="EZ3" s="169" t="s">
        <v>697</v>
      </c>
      <c r="FA3" s="169" t="s">
        <v>697</v>
      </c>
      <c r="FB3" s="169" t="s">
        <v>697</v>
      </c>
      <c r="FC3" s="169" t="s">
        <v>697</v>
      </c>
      <c r="FD3" s="169" t="s">
        <v>697</v>
      </c>
      <c r="FE3" s="169" t="s">
        <v>697</v>
      </c>
      <c r="FF3" s="169" t="s">
        <v>697</v>
      </c>
      <c r="FG3" s="169" t="s">
        <v>697</v>
      </c>
      <c r="FH3" s="169" t="s">
        <v>697</v>
      </c>
      <c r="FI3" s="169" t="s">
        <v>697</v>
      </c>
      <c r="FJ3" s="169" t="s">
        <v>697</v>
      </c>
      <c r="FK3" s="169" t="s">
        <v>697</v>
      </c>
      <c r="FL3" s="169" t="s">
        <v>697</v>
      </c>
      <c r="FM3" s="169" t="s">
        <v>697</v>
      </c>
      <c r="FN3" s="169" t="s">
        <v>697</v>
      </c>
      <c r="FO3" s="169" t="s">
        <v>697</v>
      </c>
      <c r="FP3" s="169" t="s">
        <v>697</v>
      </c>
      <c r="FQ3" s="169" t="s">
        <v>697</v>
      </c>
      <c r="FR3" s="169" t="s">
        <v>697</v>
      </c>
      <c r="FS3" s="169" t="s">
        <v>697</v>
      </c>
      <c r="FT3" s="169" t="s">
        <v>697</v>
      </c>
      <c r="FU3" s="169" t="s">
        <v>697</v>
      </c>
      <c r="FV3" s="169" t="s">
        <v>697</v>
      </c>
      <c r="FW3" s="169" t="s">
        <v>697</v>
      </c>
      <c r="FX3" s="169" t="s">
        <v>697</v>
      </c>
    </row>
    <row r="4" spans="1:181" s="30" customFormat="1" ht="18" customHeight="1" thickBot="1" x14ac:dyDescent="0.55000000000000004">
      <c r="A4" s="30" t="s">
        <v>44</v>
      </c>
      <c r="BJ4" s="380"/>
      <c r="BP4" s="380"/>
      <c r="BQ4" s="380"/>
      <c r="BR4" s="380"/>
      <c r="BS4" s="380"/>
      <c r="BT4" s="380"/>
      <c r="BU4" s="380"/>
      <c r="CM4" s="381"/>
      <c r="CN4" s="381"/>
      <c r="CO4" s="381"/>
      <c r="CP4" s="382"/>
      <c r="CQ4" s="382"/>
      <c r="CR4" s="381"/>
      <c r="CS4" s="381"/>
      <c r="CT4" s="381"/>
      <c r="CU4" s="381"/>
      <c r="CV4" s="381"/>
      <c r="CW4" s="381"/>
      <c r="CX4" s="381"/>
      <c r="CY4" s="381"/>
      <c r="CZ4" s="381"/>
      <c r="DA4" s="381"/>
      <c r="DB4" s="381"/>
      <c r="DC4" s="381"/>
      <c r="DD4" s="381"/>
      <c r="DE4" s="381"/>
      <c r="DF4" s="381"/>
      <c r="DV4" s="383"/>
      <c r="DW4" s="383"/>
      <c r="DX4" s="383"/>
      <c r="DY4" s="383"/>
      <c r="DZ4" s="383"/>
      <c r="EA4" s="383"/>
      <c r="EB4" s="383"/>
      <c r="EC4" s="383"/>
      <c r="ED4" s="383"/>
      <c r="EE4" s="383"/>
    </row>
    <row r="5" spans="1:181" ht="18" customHeight="1" x14ac:dyDescent="0.25">
      <c r="A5" s="153" t="s">
        <v>44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AF5" s="477" t="s">
        <v>950</v>
      </c>
      <c r="AG5" s="478"/>
      <c r="AH5" s="154" t="s">
        <v>73</v>
      </c>
      <c r="AI5" s="155" t="s">
        <v>378</v>
      </c>
      <c r="AJ5" s="156" t="s">
        <v>379</v>
      </c>
      <c r="AK5" s="156" t="s">
        <v>869</v>
      </c>
      <c r="AL5" s="156" t="s">
        <v>380</v>
      </c>
      <c r="AM5" s="156" t="s">
        <v>871</v>
      </c>
      <c r="AN5" s="156" t="s">
        <v>381</v>
      </c>
      <c r="AO5" s="156" t="s">
        <v>873</v>
      </c>
      <c r="AP5" s="156" t="s">
        <v>382</v>
      </c>
      <c r="AQ5" s="156" t="s">
        <v>383</v>
      </c>
      <c r="AR5" s="156" t="s">
        <v>384</v>
      </c>
      <c r="AS5" s="156" t="s">
        <v>385</v>
      </c>
      <c r="AT5" s="156" t="s">
        <v>386</v>
      </c>
      <c r="AU5" s="156" t="s">
        <v>387</v>
      </c>
      <c r="AV5" s="156" t="s">
        <v>388</v>
      </c>
      <c r="AW5" s="156" t="s">
        <v>389</v>
      </c>
      <c r="AX5" s="156" t="s">
        <v>390</v>
      </c>
      <c r="AY5" s="156" t="s">
        <v>391</v>
      </c>
      <c r="AZ5" s="156" t="s">
        <v>392</v>
      </c>
      <c r="BA5" s="156" t="s">
        <v>393</v>
      </c>
      <c r="BB5" s="156" t="s">
        <v>394</v>
      </c>
      <c r="BC5" s="156" t="s">
        <v>395</v>
      </c>
      <c r="BD5" s="156" t="s">
        <v>396</v>
      </c>
      <c r="BE5" s="156" t="s">
        <v>397</v>
      </c>
      <c r="BF5" s="156" t="s">
        <v>398</v>
      </c>
      <c r="BG5" s="156" t="s">
        <v>880</v>
      </c>
      <c r="BH5" s="156" t="s">
        <v>399</v>
      </c>
      <c r="BI5" s="156" t="s">
        <v>400</v>
      </c>
      <c r="BJ5" s="158" t="s">
        <v>255</v>
      </c>
      <c r="BK5" s="158" t="s">
        <v>256</v>
      </c>
      <c r="BL5" s="156" t="s">
        <v>401</v>
      </c>
      <c r="BM5" s="156" t="s">
        <v>18</v>
      </c>
      <c r="BN5" s="156" t="s">
        <v>975</v>
      </c>
      <c r="BO5" s="156" t="s">
        <v>402</v>
      </c>
      <c r="BP5" s="156" t="s">
        <v>403</v>
      </c>
      <c r="BQ5" s="156" t="s">
        <v>152</v>
      </c>
      <c r="BR5" s="156" t="s">
        <v>235</v>
      </c>
      <c r="BS5" s="156" t="s">
        <v>236</v>
      </c>
      <c r="BT5" s="156" t="s">
        <v>237</v>
      </c>
      <c r="BU5" s="158" t="s">
        <v>404</v>
      </c>
      <c r="BV5" s="156" t="s">
        <v>405</v>
      </c>
      <c r="BW5" s="156" t="s">
        <v>406</v>
      </c>
      <c r="BX5" s="156" t="s">
        <v>407</v>
      </c>
      <c r="BY5" s="156" t="s">
        <v>408</v>
      </c>
      <c r="BZ5" s="156" t="s">
        <v>409</v>
      </c>
      <c r="CA5" s="156" t="s">
        <v>410</v>
      </c>
      <c r="CB5" s="156" t="s">
        <v>411</v>
      </c>
      <c r="CC5" s="156" t="s">
        <v>412</v>
      </c>
      <c r="CD5" s="156" t="s">
        <v>413</v>
      </c>
      <c r="CE5" s="159" t="s">
        <v>976</v>
      </c>
      <c r="CF5" s="156" t="s">
        <v>414</v>
      </c>
      <c r="CG5" s="156" t="s">
        <v>415</v>
      </c>
      <c r="CH5" s="156" t="s">
        <v>416</v>
      </c>
      <c r="CI5" s="156" t="s">
        <v>417</v>
      </c>
      <c r="CJ5" s="156" t="s">
        <v>418</v>
      </c>
      <c r="CK5" s="156" t="s">
        <v>419</v>
      </c>
      <c r="CL5" s="156" t="s">
        <v>420</v>
      </c>
      <c r="CM5" s="156" t="s">
        <v>421</v>
      </c>
      <c r="CN5" s="156" t="s">
        <v>422</v>
      </c>
      <c r="CO5" s="156" t="s">
        <v>423</v>
      </c>
      <c r="CP5" s="156" t="s">
        <v>424</v>
      </c>
      <c r="CQ5" s="156" t="s">
        <v>425</v>
      </c>
      <c r="CR5" s="156" t="s">
        <v>426</v>
      </c>
      <c r="CS5" s="156" t="s">
        <v>427</v>
      </c>
      <c r="CT5" s="156" t="s">
        <v>428</v>
      </c>
      <c r="CU5" s="156" t="s">
        <v>429</v>
      </c>
      <c r="CV5" s="156" t="s">
        <v>430</v>
      </c>
      <c r="CW5" s="156" t="s">
        <v>431</v>
      </c>
      <c r="CX5" s="156" t="s">
        <v>432</v>
      </c>
      <c r="CY5" s="156" t="s">
        <v>433</v>
      </c>
      <c r="CZ5" s="156" t="s">
        <v>434</v>
      </c>
      <c r="DA5" s="156" t="s">
        <v>435</v>
      </c>
      <c r="DB5" s="156" t="s">
        <v>436</v>
      </c>
      <c r="DC5" s="156" t="s">
        <v>437</v>
      </c>
      <c r="DD5" s="156" t="s">
        <v>438</v>
      </c>
      <c r="DE5" s="156" t="s">
        <v>439</v>
      </c>
      <c r="DF5" s="156" t="s">
        <v>440</v>
      </c>
      <c r="DG5" s="156" t="s">
        <v>441</v>
      </c>
      <c r="DH5" s="156" t="s">
        <v>442</v>
      </c>
      <c r="DI5" s="156" t="s">
        <v>443</v>
      </c>
      <c r="DJ5" s="156" t="s">
        <v>444</v>
      </c>
      <c r="DK5" s="156" t="s">
        <v>445</v>
      </c>
      <c r="DL5" s="156" t="s">
        <v>446</v>
      </c>
      <c r="DM5" s="156" t="s">
        <v>447</v>
      </c>
      <c r="DN5" s="156" t="s">
        <v>448</v>
      </c>
      <c r="DO5" s="156" t="s">
        <v>449</v>
      </c>
      <c r="DP5" s="156" t="s">
        <v>450</v>
      </c>
      <c r="DQ5" s="156" t="s">
        <v>451</v>
      </c>
      <c r="DR5" s="156" t="s">
        <v>452</v>
      </c>
      <c r="DS5" s="156" t="s">
        <v>453</v>
      </c>
      <c r="DT5" s="156" t="s">
        <v>454</v>
      </c>
      <c r="DU5" s="156" t="s">
        <v>455</v>
      </c>
      <c r="DV5" s="156" t="s">
        <v>456</v>
      </c>
      <c r="DW5" s="156" t="s">
        <v>457</v>
      </c>
      <c r="DX5" s="156" t="s">
        <v>458</v>
      </c>
      <c r="DY5" s="156" t="s">
        <v>459</v>
      </c>
      <c r="DZ5" s="156" t="s">
        <v>460</v>
      </c>
      <c r="EA5" s="156" t="s">
        <v>461</v>
      </c>
      <c r="EB5" s="156" t="s">
        <v>462</v>
      </c>
      <c r="EC5" s="156" t="s">
        <v>463</v>
      </c>
      <c r="ED5" s="156" t="s">
        <v>464</v>
      </c>
      <c r="EE5" s="156" t="s">
        <v>465</v>
      </c>
      <c r="EF5" s="156" t="s">
        <v>466</v>
      </c>
      <c r="EG5" s="156" t="s">
        <v>467</v>
      </c>
      <c r="EH5" s="156" t="s">
        <v>468</v>
      </c>
      <c r="EI5" s="156" t="s">
        <v>469</v>
      </c>
      <c r="EJ5" s="156" t="s">
        <v>470</v>
      </c>
      <c r="EK5" s="156" t="s">
        <v>471</v>
      </c>
      <c r="EL5" s="156" t="s">
        <v>472</v>
      </c>
      <c r="EM5" s="156" t="s">
        <v>473</v>
      </c>
      <c r="EN5" s="156" t="s">
        <v>474</v>
      </c>
      <c r="EO5" s="156" t="s">
        <v>475</v>
      </c>
      <c r="EP5" s="156" t="s">
        <v>476</v>
      </c>
      <c r="EQ5" s="156" t="s">
        <v>477</v>
      </c>
      <c r="ER5" s="156" t="s">
        <v>478</v>
      </c>
      <c r="ES5" s="156" t="s">
        <v>479</v>
      </c>
      <c r="ET5" s="156" t="s">
        <v>480</v>
      </c>
      <c r="EU5" s="156" t="s">
        <v>481</v>
      </c>
      <c r="EV5" s="156" t="s">
        <v>482</v>
      </c>
      <c r="EW5" s="156" t="s">
        <v>483</v>
      </c>
      <c r="EX5" s="156" t="s">
        <v>484</v>
      </c>
      <c r="EY5" s="156" t="s">
        <v>485</v>
      </c>
      <c r="EZ5" s="156" t="s">
        <v>486</v>
      </c>
      <c r="FA5" s="156" t="s">
        <v>487</v>
      </c>
      <c r="FB5" s="156" t="s">
        <v>488</v>
      </c>
      <c r="FC5" s="156" t="s">
        <v>489</v>
      </c>
      <c r="FD5" s="156" t="s">
        <v>490</v>
      </c>
      <c r="FE5" s="156" t="s">
        <v>491</v>
      </c>
      <c r="FF5" s="156" t="s">
        <v>492</v>
      </c>
      <c r="FG5" s="156" t="s">
        <v>493</v>
      </c>
      <c r="FH5" s="156" t="s">
        <v>494</v>
      </c>
      <c r="FI5" s="156" t="s">
        <v>495</v>
      </c>
      <c r="FJ5" s="156" t="s">
        <v>496</v>
      </c>
      <c r="FK5" s="156" t="s">
        <v>497</v>
      </c>
      <c r="FL5" s="156" t="s">
        <v>498</v>
      </c>
      <c r="FM5" s="156" t="s">
        <v>499</v>
      </c>
      <c r="FN5" s="156" t="s">
        <v>500</v>
      </c>
      <c r="FO5" s="156" t="s">
        <v>501</v>
      </c>
      <c r="FP5" s="156" t="s">
        <v>502</v>
      </c>
      <c r="FQ5" s="156" t="s">
        <v>503</v>
      </c>
      <c r="FR5" s="156" t="s">
        <v>504</v>
      </c>
      <c r="FS5" s="156" t="s">
        <v>505</v>
      </c>
      <c r="FT5" s="156" t="s">
        <v>506</v>
      </c>
      <c r="FU5" s="156" t="s">
        <v>507</v>
      </c>
      <c r="FV5" s="156" t="s">
        <v>508</v>
      </c>
      <c r="FW5" s="156" t="s">
        <v>509</v>
      </c>
      <c r="FX5" s="156" t="s">
        <v>510</v>
      </c>
      <c r="FY5" s="160" t="s">
        <v>511</v>
      </c>
    </row>
    <row r="6" spans="1:181" ht="18" customHeight="1" x14ac:dyDescent="0.25">
      <c r="A6" s="52" t="s">
        <v>44</v>
      </c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AF6" s="479"/>
      <c r="AG6" s="409"/>
      <c r="AH6" s="161" t="s">
        <v>512</v>
      </c>
      <c r="AI6" s="162" t="s">
        <v>513</v>
      </c>
      <c r="AJ6" s="163" t="s">
        <v>513</v>
      </c>
      <c r="AK6" s="164" t="s">
        <v>514</v>
      </c>
      <c r="AL6" s="163" t="s">
        <v>513</v>
      </c>
      <c r="AM6" s="164" t="s">
        <v>514</v>
      </c>
      <c r="AN6" s="162" t="s">
        <v>513</v>
      </c>
      <c r="AO6" s="162" t="s">
        <v>513</v>
      </c>
      <c r="AP6" s="164">
        <v>0.1</v>
      </c>
      <c r="AQ6" s="164" t="s">
        <v>515</v>
      </c>
      <c r="AR6" s="164" t="s">
        <v>515</v>
      </c>
      <c r="AS6" s="162" t="s">
        <v>513</v>
      </c>
      <c r="AT6" s="164" t="s">
        <v>516</v>
      </c>
      <c r="AU6" s="162" t="s">
        <v>513</v>
      </c>
      <c r="AV6" s="164" t="s">
        <v>514</v>
      </c>
      <c r="AW6" s="162" t="s">
        <v>513</v>
      </c>
      <c r="AX6" s="164" t="s">
        <v>514</v>
      </c>
      <c r="AY6" s="162" t="s">
        <v>513</v>
      </c>
      <c r="AZ6" s="162" t="s">
        <v>513</v>
      </c>
      <c r="BA6" s="165"/>
      <c r="BB6" s="162" t="s">
        <v>517</v>
      </c>
      <c r="BC6" s="163" t="s">
        <v>518</v>
      </c>
      <c r="BD6" s="163" t="s">
        <v>517</v>
      </c>
      <c r="BE6" s="162" t="s">
        <v>949</v>
      </c>
      <c r="BF6" s="162" t="s">
        <v>948</v>
      </c>
      <c r="BG6" s="162" t="s">
        <v>520</v>
      </c>
      <c r="BH6" s="162" t="s">
        <v>521</v>
      </c>
      <c r="BI6" s="164" t="s">
        <v>522</v>
      </c>
      <c r="BJ6" s="163"/>
      <c r="BK6" s="163"/>
      <c r="BL6" s="163"/>
      <c r="BM6" s="162" t="s">
        <v>523</v>
      </c>
      <c r="BN6" s="162" t="s">
        <v>524</v>
      </c>
      <c r="BO6" s="165"/>
      <c r="BP6" s="162" t="s">
        <v>520</v>
      </c>
      <c r="BQ6" s="164" t="s">
        <v>525</v>
      </c>
      <c r="BR6" s="164" t="s">
        <v>526</v>
      </c>
      <c r="BS6" s="164" t="s">
        <v>526</v>
      </c>
      <c r="BT6" s="165"/>
      <c r="BU6" s="163"/>
      <c r="BV6" s="163" t="s">
        <v>189</v>
      </c>
      <c r="BW6" s="163" t="s">
        <v>189</v>
      </c>
      <c r="BX6" s="162" t="s">
        <v>519</v>
      </c>
      <c r="BY6" s="164" t="s">
        <v>527</v>
      </c>
      <c r="BZ6" s="165"/>
      <c r="CA6" s="165"/>
      <c r="CB6" s="163" t="s">
        <v>518</v>
      </c>
      <c r="CC6" s="165"/>
      <c r="CD6" s="165"/>
      <c r="CE6" s="165"/>
      <c r="CF6" s="163" t="s">
        <v>528</v>
      </c>
      <c r="CG6" s="163" t="s">
        <v>521</v>
      </c>
      <c r="CH6" s="163" t="s">
        <v>528</v>
      </c>
      <c r="CI6" s="163" t="s">
        <v>529</v>
      </c>
      <c r="CJ6" s="163" t="s">
        <v>61</v>
      </c>
      <c r="CK6" s="163" t="s">
        <v>530</v>
      </c>
      <c r="CL6" s="163" t="s">
        <v>531</v>
      </c>
      <c r="CM6" s="163" t="s">
        <v>532</v>
      </c>
      <c r="CN6" s="163" t="s">
        <v>532</v>
      </c>
      <c r="CO6" s="162" t="s">
        <v>519</v>
      </c>
      <c r="CP6" s="164">
        <v>100</v>
      </c>
      <c r="CQ6" s="164">
        <v>100</v>
      </c>
      <c r="CR6" s="165"/>
      <c r="CS6" s="165"/>
      <c r="CT6" s="165"/>
      <c r="CU6" s="163" t="s">
        <v>153</v>
      </c>
      <c r="CV6" s="163" t="s">
        <v>153</v>
      </c>
      <c r="CW6" s="163" t="s">
        <v>153</v>
      </c>
      <c r="CX6" s="163" t="s">
        <v>153</v>
      </c>
      <c r="CY6" s="163" t="s">
        <v>153</v>
      </c>
      <c r="CZ6" s="163" t="s">
        <v>153</v>
      </c>
      <c r="DA6" s="163" t="s">
        <v>153</v>
      </c>
      <c r="DB6" s="163" t="s">
        <v>153</v>
      </c>
      <c r="DC6" s="163" t="s">
        <v>153</v>
      </c>
      <c r="DD6" s="163" t="s">
        <v>153</v>
      </c>
      <c r="DE6" s="163" t="s">
        <v>153</v>
      </c>
      <c r="DF6" s="163" t="s">
        <v>153</v>
      </c>
      <c r="DG6" s="163" t="s">
        <v>153</v>
      </c>
      <c r="DH6" s="163" t="s">
        <v>153</v>
      </c>
      <c r="DI6" s="163" t="s">
        <v>153</v>
      </c>
      <c r="DJ6" s="163" t="s">
        <v>153</v>
      </c>
      <c r="DK6" s="163" t="s">
        <v>153</v>
      </c>
      <c r="DL6" s="163" t="s">
        <v>153</v>
      </c>
      <c r="DM6" s="163" t="s">
        <v>153</v>
      </c>
      <c r="DN6" s="163" t="s">
        <v>153</v>
      </c>
      <c r="DO6" s="163" t="s">
        <v>153</v>
      </c>
      <c r="DP6" s="163" t="s">
        <v>153</v>
      </c>
      <c r="DQ6" s="163" t="s">
        <v>153</v>
      </c>
      <c r="DR6" s="163" t="s">
        <v>153</v>
      </c>
      <c r="DS6" s="163" t="s">
        <v>153</v>
      </c>
      <c r="DT6" s="163" t="s">
        <v>153</v>
      </c>
      <c r="DU6" s="163" t="s">
        <v>153</v>
      </c>
      <c r="DV6" s="163" t="s">
        <v>153</v>
      </c>
      <c r="DW6" s="163" t="s">
        <v>153</v>
      </c>
      <c r="DX6" s="163" t="s">
        <v>533</v>
      </c>
      <c r="DY6" s="163" t="s">
        <v>533</v>
      </c>
      <c r="DZ6" s="163" t="s">
        <v>153</v>
      </c>
      <c r="EA6" s="163" t="s">
        <v>153</v>
      </c>
      <c r="EB6" s="163" t="s">
        <v>153</v>
      </c>
      <c r="EC6" s="163" t="s">
        <v>533</v>
      </c>
      <c r="ED6" s="163" t="s">
        <v>153</v>
      </c>
      <c r="EE6" s="163" t="s">
        <v>153</v>
      </c>
      <c r="EF6" s="163" t="s">
        <v>153</v>
      </c>
      <c r="EG6" s="163" t="s">
        <v>533</v>
      </c>
      <c r="EH6" s="163" t="s">
        <v>153</v>
      </c>
      <c r="EI6" s="163" t="s">
        <v>153</v>
      </c>
      <c r="EJ6" s="163" t="s">
        <v>153</v>
      </c>
      <c r="EK6" s="163" t="s">
        <v>153</v>
      </c>
      <c r="EL6" s="163" t="s">
        <v>153</v>
      </c>
      <c r="EM6" s="163" t="s">
        <v>153</v>
      </c>
      <c r="EN6" s="163" t="s">
        <v>153</v>
      </c>
      <c r="EO6" s="163" t="s">
        <v>153</v>
      </c>
      <c r="EP6" s="163" t="s">
        <v>153</v>
      </c>
      <c r="EQ6" s="163" t="s">
        <v>153</v>
      </c>
      <c r="ER6" s="163" t="s">
        <v>153</v>
      </c>
      <c r="ES6" s="163" t="s">
        <v>534</v>
      </c>
      <c r="ET6" s="163" t="s">
        <v>518</v>
      </c>
      <c r="EU6" s="165"/>
      <c r="EV6" s="163" t="s">
        <v>535</v>
      </c>
      <c r="EW6" s="163" t="s">
        <v>528</v>
      </c>
      <c r="EX6" s="165"/>
      <c r="EY6" s="165"/>
      <c r="EZ6" s="165"/>
      <c r="FA6" s="163" t="s">
        <v>518</v>
      </c>
      <c r="FB6" s="163" t="s">
        <v>531</v>
      </c>
      <c r="FC6" s="165"/>
      <c r="FD6" s="165"/>
      <c r="FE6" s="165"/>
      <c r="FF6" s="165"/>
      <c r="FG6" s="165"/>
      <c r="FH6" s="165"/>
      <c r="FI6" s="165"/>
      <c r="FJ6" s="165"/>
      <c r="FK6" s="165"/>
      <c r="FL6" s="165"/>
      <c r="FM6" s="165"/>
      <c r="FN6" s="165"/>
      <c r="FO6" s="165"/>
      <c r="FP6" s="165"/>
      <c r="FQ6" s="165"/>
      <c r="FR6" s="163" t="s">
        <v>536</v>
      </c>
      <c r="FS6" s="165"/>
      <c r="FT6" s="165"/>
      <c r="FU6" s="165"/>
      <c r="FV6" s="163" t="s">
        <v>153</v>
      </c>
      <c r="FW6" s="165"/>
      <c r="FX6" s="165"/>
      <c r="FY6" s="166" t="s">
        <v>511</v>
      </c>
    </row>
    <row r="7" spans="1:181" ht="18" customHeight="1" thickBot="1" x14ac:dyDescent="0.3">
      <c r="A7" s="52" t="s">
        <v>44</v>
      </c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AF7" s="479"/>
      <c r="AG7" s="409"/>
      <c r="AH7" s="167" t="s">
        <v>537</v>
      </c>
      <c r="AI7" s="168" t="s">
        <v>538</v>
      </c>
      <c r="AJ7" s="169" t="s">
        <v>539</v>
      </c>
      <c r="AK7" s="169" t="s">
        <v>540</v>
      </c>
      <c r="AL7" s="169" t="s">
        <v>541</v>
      </c>
      <c r="AM7" s="169" t="s">
        <v>542</v>
      </c>
      <c r="AN7" s="169" t="s">
        <v>543</v>
      </c>
      <c r="AO7" s="169" t="s">
        <v>544</v>
      </c>
      <c r="AP7" s="169" t="s">
        <v>545</v>
      </c>
      <c r="AQ7" s="169" t="s">
        <v>546</v>
      </c>
      <c r="AR7" s="169" t="s">
        <v>547</v>
      </c>
      <c r="AS7" s="169" t="s">
        <v>548</v>
      </c>
      <c r="AT7" s="169" t="s">
        <v>549</v>
      </c>
      <c r="AU7" s="169" t="s">
        <v>550</v>
      </c>
      <c r="AV7" s="169" t="s">
        <v>551</v>
      </c>
      <c r="AW7" s="169" t="s">
        <v>552</v>
      </c>
      <c r="AX7" s="169" t="s">
        <v>553</v>
      </c>
      <c r="AY7" s="169" t="s">
        <v>554</v>
      </c>
      <c r="AZ7" s="169" t="s">
        <v>555</v>
      </c>
      <c r="BA7" s="169" t="s">
        <v>556</v>
      </c>
      <c r="BB7" s="169" t="s">
        <v>557</v>
      </c>
      <c r="BC7" s="169" t="s">
        <v>558</v>
      </c>
      <c r="BD7" s="169" t="s">
        <v>559</v>
      </c>
      <c r="BE7" s="169" t="s">
        <v>560</v>
      </c>
      <c r="BF7" s="169" t="s">
        <v>561</v>
      </c>
      <c r="BG7" s="169" t="s">
        <v>562</v>
      </c>
      <c r="BH7" s="169" t="s">
        <v>113</v>
      </c>
      <c r="BI7" s="169" t="s">
        <v>563</v>
      </c>
      <c r="BJ7" s="169" t="s">
        <v>564</v>
      </c>
      <c r="BK7" s="169" t="s">
        <v>565</v>
      </c>
      <c r="BL7" s="169" t="s">
        <v>566</v>
      </c>
      <c r="BM7" s="169" t="s">
        <v>18</v>
      </c>
      <c r="BN7" s="169" t="s">
        <v>567</v>
      </c>
      <c r="BO7" s="169" t="s">
        <v>568</v>
      </c>
      <c r="BP7" s="169" t="s">
        <v>569</v>
      </c>
      <c r="BQ7" s="169" t="s">
        <v>570</v>
      </c>
      <c r="BR7" s="169" t="s">
        <v>571</v>
      </c>
      <c r="BS7" s="169" t="s">
        <v>572</v>
      </c>
      <c r="BT7" s="169" t="s">
        <v>573</v>
      </c>
      <c r="BU7" s="169" t="s">
        <v>172</v>
      </c>
      <c r="BV7" s="169" t="s">
        <v>574</v>
      </c>
      <c r="BW7" s="169" t="s">
        <v>575</v>
      </c>
      <c r="BX7" s="169" t="s">
        <v>576</v>
      </c>
      <c r="BY7" s="169" t="s">
        <v>577</v>
      </c>
      <c r="BZ7" s="169" t="s">
        <v>578</v>
      </c>
      <c r="CA7" s="169" t="s">
        <v>579</v>
      </c>
      <c r="CB7" s="169" t="s">
        <v>580</v>
      </c>
      <c r="CC7" s="169" t="s">
        <v>581</v>
      </c>
      <c r="CD7" s="169" t="s">
        <v>582</v>
      </c>
      <c r="CE7" s="169" t="s">
        <v>583</v>
      </c>
      <c r="CF7" s="169" t="s">
        <v>584</v>
      </c>
      <c r="CG7" s="169" t="s">
        <v>585</v>
      </c>
      <c r="CH7" s="169" t="s">
        <v>586</v>
      </c>
      <c r="CI7" s="169" t="s">
        <v>587</v>
      </c>
      <c r="CJ7" s="169" t="s">
        <v>588</v>
      </c>
      <c r="CK7" s="169" t="s">
        <v>589</v>
      </c>
      <c r="CL7" s="169" t="s">
        <v>590</v>
      </c>
      <c r="CM7" s="169" t="s">
        <v>591</v>
      </c>
      <c r="CN7" s="169" t="s">
        <v>592</v>
      </c>
      <c r="CO7" s="169" t="s">
        <v>593</v>
      </c>
      <c r="CP7" s="169" t="s">
        <v>594</v>
      </c>
      <c r="CQ7" s="169" t="s">
        <v>595</v>
      </c>
      <c r="CR7" s="169" t="s">
        <v>596</v>
      </c>
      <c r="CS7" s="169" t="s">
        <v>597</v>
      </c>
      <c r="CT7" s="169" t="s">
        <v>598</v>
      </c>
      <c r="CU7" s="169" t="s">
        <v>599</v>
      </c>
      <c r="CV7" s="169" t="s">
        <v>600</v>
      </c>
      <c r="CW7" s="169" t="s">
        <v>601</v>
      </c>
      <c r="CX7" s="169" t="s">
        <v>602</v>
      </c>
      <c r="CY7" s="169" t="s">
        <v>603</v>
      </c>
      <c r="CZ7" s="169" t="s">
        <v>604</v>
      </c>
      <c r="DA7" s="169" t="s">
        <v>435</v>
      </c>
      <c r="DB7" s="169" t="s">
        <v>605</v>
      </c>
      <c r="DC7" s="169" t="s">
        <v>606</v>
      </c>
      <c r="DD7" s="169" t="s">
        <v>607</v>
      </c>
      <c r="DE7" s="169" t="s">
        <v>608</v>
      </c>
      <c r="DF7" s="169" t="s">
        <v>609</v>
      </c>
      <c r="DG7" s="169" t="s">
        <v>610</v>
      </c>
      <c r="DH7" s="169" t="s">
        <v>611</v>
      </c>
      <c r="DI7" s="169" t="s">
        <v>612</v>
      </c>
      <c r="DJ7" s="169" t="s">
        <v>613</v>
      </c>
      <c r="DK7" s="169" t="s">
        <v>614</v>
      </c>
      <c r="DL7" s="169" t="s">
        <v>615</v>
      </c>
      <c r="DM7" s="169" t="s">
        <v>616</v>
      </c>
      <c r="DN7" s="169" t="s">
        <v>617</v>
      </c>
      <c r="DO7" s="169" t="s">
        <v>618</v>
      </c>
      <c r="DP7" s="169" t="s">
        <v>619</v>
      </c>
      <c r="DQ7" s="169" t="s">
        <v>620</v>
      </c>
      <c r="DR7" s="169" t="s">
        <v>621</v>
      </c>
      <c r="DS7" s="169" t="s">
        <v>622</v>
      </c>
      <c r="DT7" s="169" t="s">
        <v>623</v>
      </c>
      <c r="DU7" s="169" t="s">
        <v>624</v>
      </c>
      <c r="DV7" s="169" t="s">
        <v>625</v>
      </c>
      <c r="DW7" s="169" t="s">
        <v>626</v>
      </c>
      <c r="DX7" s="169" t="s">
        <v>627</v>
      </c>
      <c r="DY7" s="169" t="s">
        <v>628</v>
      </c>
      <c r="DZ7" s="169" t="s">
        <v>629</v>
      </c>
      <c r="EA7" s="169" t="s">
        <v>630</v>
      </c>
      <c r="EB7" s="169" t="s">
        <v>631</v>
      </c>
      <c r="EC7" s="169" t="s">
        <v>632</v>
      </c>
      <c r="ED7" s="169" t="s">
        <v>633</v>
      </c>
      <c r="EE7" s="169" t="s">
        <v>634</v>
      </c>
      <c r="EF7" s="169" t="s">
        <v>635</v>
      </c>
      <c r="EG7" s="169" t="s">
        <v>636</v>
      </c>
      <c r="EH7" s="169" t="s">
        <v>637</v>
      </c>
      <c r="EI7" s="169" t="s">
        <v>469</v>
      </c>
      <c r="EJ7" s="169" t="s">
        <v>638</v>
      </c>
      <c r="EK7" s="169" t="s">
        <v>639</v>
      </c>
      <c r="EL7" s="169" t="s">
        <v>640</v>
      </c>
      <c r="EM7" s="169" t="s">
        <v>641</v>
      </c>
      <c r="EN7" s="169" t="s">
        <v>642</v>
      </c>
      <c r="EO7" s="169" t="s">
        <v>643</v>
      </c>
      <c r="EP7" s="169" t="s">
        <v>644</v>
      </c>
      <c r="EQ7" s="169" t="s">
        <v>645</v>
      </c>
      <c r="ER7" s="169" t="s">
        <v>478</v>
      </c>
      <c r="ES7" s="169" t="s">
        <v>646</v>
      </c>
      <c r="ET7" s="169" t="s">
        <v>647</v>
      </c>
      <c r="EU7" s="169" t="s">
        <v>648</v>
      </c>
      <c r="EV7" s="169" t="s">
        <v>649</v>
      </c>
      <c r="EW7" s="169" t="s">
        <v>650</v>
      </c>
      <c r="EX7" s="169" t="s">
        <v>651</v>
      </c>
      <c r="EY7" s="169" t="s">
        <v>652</v>
      </c>
      <c r="EZ7" s="169" t="s">
        <v>653</v>
      </c>
      <c r="FA7" s="169" t="s">
        <v>654</v>
      </c>
      <c r="FB7" s="169" t="s">
        <v>655</v>
      </c>
      <c r="FC7" s="169" t="s">
        <v>656</v>
      </c>
      <c r="FD7" s="169" t="s">
        <v>657</v>
      </c>
      <c r="FE7" s="169" t="s">
        <v>658</v>
      </c>
      <c r="FF7" s="169" t="s">
        <v>659</v>
      </c>
      <c r="FG7" s="169" t="s">
        <v>660</v>
      </c>
      <c r="FH7" s="169" t="s">
        <v>661</v>
      </c>
      <c r="FI7" s="169" t="s">
        <v>662</v>
      </c>
      <c r="FJ7" s="169" t="s">
        <v>663</v>
      </c>
      <c r="FK7" s="169" t="s">
        <v>664</v>
      </c>
      <c r="FL7" s="169" t="s">
        <v>665</v>
      </c>
      <c r="FM7" s="169" t="s">
        <v>666</v>
      </c>
      <c r="FN7" s="169" t="s">
        <v>667</v>
      </c>
      <c r="FO7" s="169" t="s">
        <v>668</v>
      </c>
      <c r="FP7" s="169" t="s">
        <v>669</v>
      </c>
      <c r="FQ7" s="169" t="s">
        <v>670</v>
      </c>
      <c r="FR7" s="169" t="s">
        <v>671</v>
      </c>
      <c r="FS7" s="169" t="s">
        <v>672</v>
      </c>
      <c r="FT7" s="169" t="s">
        <v>673</v>
      </c>
      <c r="FU7" s="169" t="s">
        <v>674</v>
      </c>
      <c r="FV7" s="169" t="s">
        <v>675</v>
      </c>
      <c r="FW7" s="169" t="s">
        <v>676</v>
      </c>
      <c r="FX7" s="169" t="s">
        <v>677</v>
      </c>
      <c r="FY7" s="166" t="s">
        <v>511</v>
      </c>
    </row>
    <row r="8" spans="1:181" ht="18" customHeight="1" thickBot="1" x14ac:dyDescent="0.3">
      <c r="A8" s="492" t="s">
        <v>358</v>
      </c>
      <c r="B8" s="493"/>
      <c r="C8" s="493"/>
      <c r="D8" s="493"/>
      <c r="E8" s="493"/>
      <c r="F8" s="493"/>
      <c r="G8" s="493"/>
      <c r="H8" s="493"/>
      <c r="I8" s="493"/>
      <c r="J8" s="493"/>
      <c r="K8" s="493"/>
      <c r="L8" s="493"/>
      <c r="M8" s="493"/>
      <c r="N8" s="493"/>
      <c r="O8" s="493"/>
      <c r="P8" s="493"/>
      <c r="Q8" s="493"/>
      <c r="R8" s="493"/>
      <c r="S8" s="493"/>
      <c r="T8" s="493"/>
      <c r="U8" s="493"/>
      <c r="V8" s="493"/>
      <c r="W8" s="493"/>
      <c r="X8" s="493"/>
      <c r="Y8" s="493"/>
      <c r="Z8" s="493"/>
      <c r="AA8" s="493"/>
      <c r="AB8" s="493"/>
      <c r="AC8" s="493"/>
      <c r="AD8" s="493"/>
      <c r="AE8" s="494"/>
      <c r="AF8" s="480"/>
      <c r="AG8" s="481"/>
      <c r="AH8" s="170" t="s">
        <v>678</v>
      </c>
      <c r="AI8" s="171" t="s">
        <v>867</v>
      </c>
      <c r="AJ8" s="171" t="s">
        <v>868</v>
      </c>
      <c r="AK8" s="171" t="s">
        <v>869</v>
      </c>
      <c r="AL8" s="171" t="s">
        <v>870</v>
      </c>
      <c r="AM8" s="171" t="s">
        <v>871</v>
      </c>
      <c r="AN8" s="171" t="s">
        <v>872</v>
      </c>
      <c r="AO8" s="171" t="s">
        <v>873</v>
      </c>
      <c r="AP8" s="171" t="s">
        <v>874</v>
      </c>
      <c r="AQ8" s="171" t="s">
        <v>875</v>
      </c>
      <c r="AR8" s="171" t="s">
        <v>384</v>
      </c>
      <c r="AS8" s="171" t="s">
        <v>876</v>
      </c>
      <c r="AT8" s="171" t="s">
        <v>877</v>
      </c>
      <c r="AU8" s="171" t="s">
        <v>387</v>
      </c>
      <c r="AV8" s="171" t="s">
        <v>388</v>
      </c>
      <c r="AW8" s="171" t="s">
        <v>878</v>
      </c>
      <c r="AX8" s="171" t="s">
        <v>390</v>
      </c>
      <c r="AY8" s="171" t="s">
        <v>391</v>
      </c>
      <c r="AZ8" s="171" t="s">
        <v>879</v>
      </c>
      <c r="BA8" s="171" t="s">
        <v>393</v>
      </c>
      <c r="BB8" s="171" t="s">
        <v>394</v>
      </c>
      <c r="BC8" s="171" t="s">
        <v>395</v>
      </c>
      <c r="BD8" s="171" t="s">
        <v>396</v>
      </c>
      <c r="BE8" s="171" t="s">
        <v>397</v>
      </c>
      <c r="BF8" s="171" t="s">
        <v>398</v>
      </c>
      <c r="BG8" s="171" t="s">
        <v>880</v>
      </c>
      <c r="BH8" s="171" t="s">
        <v>399</v>
      </c>
      <c r="BI8" s="171" t="s">
        <v>881</v>
      </c>
      <c r="BJ8" s="171" t="s">
        <v>882</v>
      </c>
      <c r="BK8" s="171" t="s">
        <v>883</v>
      </c>
      <c r="BL8" s="171" t="s">
        <v>884</v>
      </c>
      <c r="BM8" s="171" t="s">
        <v>18</v>
      </c>
      <c r="BN8" s="171" t="s">
        <v>885</v>
      </c>
      <c r="BO8" s="171" t="s">
        <v>402</v>
      </c>
      <c r="BP8" s="171" t="s">
        <v>403</v>
      </c>
      <c r="BQ8" s="171" t="s">
        <v>886</v>
      </c>
      <c r="BR8" s="171" t="s">
        <v>235</v>
      </c>
      <c r="BS8" s="171" t="s">
        <v>236</v>
      </c>
      <c r="BT8" s="171" t="s">
        <v>237</v>
      </c>
      <c r="BU8" s="171" t="s">
        <v>887</v>
      </c>
      <c r="BV8" s="171" t="s">
        <v>405</v>
      </c>
      <c r="BW8" s="171" t="s">
        <v>406</v>
      </c>
      <c r="BX8" s="171" t="s">
        <v>407</v>
      </c>
      <c r="BY8" s="171" t="s">
        <v>408</v>
      </c>
      <c r="BZ8" s="171" t="s">
        <v>888</v>
      </c>
      <c r="CA8" s="171" t="s">
        <v>410</v>
      </c>
      <c r="CB8" s="171" t="s">
        <v>889</v>
      </c>
      <c r="CC8" s="171" t="s">
        <v>412</v>
      </c>
      <c r="CD8" s="171" t="s">
        <v>413</v>
      </c>
      <c r="CE8" s="171" t="s">
        <v>890</v>
      </c>
      <c r="CF8" s="171" t="s">
        <v>414</v>
      </c>
      <c r="CG8" s="171" t="s">
        <v>415</v>
      </c>
      <c r="CH8" s="171" t="s">
        <v>416</v>
      </c>
      <c r="CI8" s="171" t="s">
        <v>417</v>
      </c>
      <c r="CJ8" s="171" t="s">
        <v>418</v>
      </c>
      <c r="CK8" s="171" t="s">
        <v>419</v>
      </c>
      <c r="CL8" s="171" t="s">
        <v>420</v>
      </c>
      <c r="CM8" s="171" t="s">
        <v>421</v>
      </c>
      <c r="CN8" s="171" t="s">
        <v>422</v>
      </c>
      <c r="CO8" s="171" t="s">
        <v>891</v>
      </c>
      <c r="CP8" s="171" t="s">
        <v>892</v>
      </c>
      <c r="CQ8" s="171" t="s">
        <v>893</v>
      </c>
      <c r="CR8" s="171" t="s">
        <v>894</v>
      </c>
      <c r="CS8" s="171" t="s">
        <v>895</v>
      </c>
      <c r="CT8" s="171" t="s">
        <v>896</v>
      </c>
      <c r="CU8" s="171" t="s">
        <v>429</v>
      </c>
      <c r="CV8" s="171" t="s">
        <v>430</v>
      </c>
      <c r="CW8" s="171" t="s">
        <v>897</v>
      </c>
      <c r="CX8" s="171" t="s">
        <v>432</v>
      </c>
      <c r="CY8" s="171" t="s">
        <v>433</v>
      </c>
      <c r="CZ8" s="171" t="s">
        <v>434</v>
      </c>
      <c r="DA8" s="171" t="s">
        <v>435</v>
      </c>
      <c r="DB8" s="171" t="s">
        <v>436</v>
      </c>
      <c r="DC8" s="171" t="s">
        <v>437</v>
      </c>
      <c r="DD8" s="171" t="s">
        <v>438</v>
      </c>
      <c r="DE8" s="171" t="s">
        <v>608</v>
      </c>
      <c r="DF8" s="171" t="s">
        <v>609</v>
      </c>
      <c r="DG8" s="171" t="s">
        <v>610</v>
      </c>
      <c r="DH8" s="171" t="s">
        <v>611</v>
      </c>
      <c r="DI8" s="171" t="s">
        <v>612</v>
      </c>
      <c r="DJ8" s="171" t="s">
        <v>613</v>
      </c>
      <c r="DK8" s="171" t="s">
        <v>445</v>
      </c>
      <c r="DL8" s="171" t="s">
        <v>446</v>
      </c>
      <c r="DM8" s="171" t="s">
        <v>898</v>
      </c>
      <c r="DN8" s="171" t="s">
        <v>448</v>
      </c>
      <c r="DO8" s="171" t="s">
        <v>449</v>
      </c>
      <c r="DP8" s="171" t="s">
        <v>450</v>
      </c>
      <c r="DQ8" s="171" t="s">
        <v>451</v>
      </c>
      <c r="DR8" s="171" t="s">
        <v>899</v>
      </c>
      <c r="DS8" s="171" t="s">
        <v>453</v>
      </c>
      <c r="DT8" s="171" t="s">
        <v>454</v>
      </c>
      <c r="DU8" s="171" t="s">
        <v>455</v>
      </c>
      <c r="DV8" s="171" t="s">
        <v>456</v>
      </c>
      <c r="DW8" s="171" t="s">
        <v>457</v>
      </c>
      <c r="DX8" s="171" t="s">
        <v>458</v>
      </c>
      <c r="DY8" s="171" t="s">
        <v>459</v>
      </c>
      <c r="DZ8" s="171" t="s">
        <v>900</v>
      </c>
      <c r="EA8" s="171" t="s">
        <v>901</v>
      </c>
      <c r="EB8" s="171" t="s">
        <v>462</v>
      </c>
      <c r="EC8" s="171" t="s">
        <v>463</v>
      </c>
      <c r="ED8" s="171" t="s">
        <v>464</v>
      </c>
      <c r="EE8" s="171" t="s">
        <v>465</v>
      </c>
      <c r="EF8" s="171" t="s">
        <v>466</v>
      </c>
      <c r="EG8" s="171" t="s">
        <v>467</v>
      </c>
      <c r="EH8" s="171" t="s">
        <v>468</v>
      </c>
      <c r="EI8" s="171" t="s">
        <v>469</v>
      </c>
      <c r="EJ8" s="171" t="s">
        <v>638</v>
      </c>
      <c r="EK8" s="171" t="s">
        <v>639</v>
      </c>
      <c r="EL8" s="171" t="s">
        <v>640</v>
      </c>
      <c r="EM8" s="171" t="s">
        <v>902</v>
      </c>
      <c r="EN8" s="171" t="s">
        <v>474</v>
      </c>
      <c r="EO8" s="171" t="s">
        <v>475</v>
      </c>
      <c r="EP8" s="171" t="s">
        <v>476</v>
      </c>
      <c r="EQ8" s="171" t="s">
        <v>903</v>
      </c>
      <c r="ER8" s="171" t="s">
        <v>478</v>
      </c>
      <c r="ES8" s="171" t="s">
        <v>904</v>
      </c>
      <c r="ET8" s="171" t="s">
        <v>905</v>
      </c>
      <c r="EU8" s="171" t="s">
        <v>481</v>
      </c>
      <c r="EV8" s="171" t="s">
        <v>906</v>
      </c>
      <c r="EW8" s="171" t="s">
        <v>907</v>
      </c>
      <c r="EX8" s="171" t="s">
        <v>908</v>
      </c>
      <c r="EY8" s="171" t="s">
        <v>909</v>
      </c>
      <c r="EZ8" s="171" t="s">
        <v>486</v>
      </c>
      <c r="FA8" s="171" t="s">
        <v>910</v>
      </c>
      <c r="FB8" s="171" t="s">
        <v>488</v>
      </c>
      <c r="FC8" s="171" t="s">
        <v>489</v>
      </c>
      <c r="FD8" s="171" t="s">
        <v>911</v>
      </c>
      <c r="FE8" s="171" t="s">
        <v>912</v>
      </c>
      <c r="FF8" s="171" t="s">
        <v>492</v>
      </c>
      <c r="FG8" s="171" t="s">
        <v>913</v>
      </c>
      <c r="FH8" s="171" t="s">
        <v>494</v>
      </c>
      <c r="FI8" s="171" t="s">
        <v>495</v>
      </c>
      <c r="FJ8" s="171" t="s">
        <v>496</v>
      </c>
      <c r="FK8" s="171" t="s">
        <v>497</v>
      </c>
      <c r="FL8" s="171" t="s">
        <v>498</v>
      </c>
      <c r="FM8" s="171" t="s">
        <v>914</v>
      </c>
      <c r="FN8" s="171" t="s">
        <v>915</v>
      </c>
      <c r="FO8" s="171" t="s">
        <v>501</v>
      </c>
      <c r="FP8" s="171" t="s">
        <v>502</v>
      </c>
      <c r="FQ8" s="171" t="s">
        <v>916</v>
      </c>
      <c r="FR8" s="171" t="s">
        <v>917</v>
      </c>
      <c r="FS8" s="171" t="s">
        <v>918</v>
      </c>
      <c r="FT8" s="171" t="s">
        <v>919</v>
      </c>
      <c r="FU8" s="171" t="s">
        <v>507</v>
      </c>
      <c r="FV8" s="171" t="s">
        <v>508</v>
      </c>
      <c r="FW8" s="171" t="s">
        <v>509</v>
      </c>
      <c r="FX8" s="171" t="s">
        <v>510</v>
      </c>
      <c r="FY8" s="172" t="s">
        <v>511</v>
      </c>
    </row>
    <row r="9" spans="1:181" ht="18" customHeight="1" x14ac:dyDescent="0.25">
      <c r="A9" s="407" t="s">
        <v>305</v>
      </c>
      <c r="B9" s="486" t="s">
        <v>359</v>
      </c>
      <c r="C9" s="488" t="s">
        <v>360</v>
      </c>
      <c r="D9" s="478" t="s">
        <v>361</v>
      </c>
      <c r="E9" s="478"/>
      <c r="F9" s="478" t="s">
        <v>362</v>
      </c>
      <c r="G9" s="488" t="s">
        <v>363</v>
      </c>
      <c r="H9" s="488"/>
      <c r="I9" s="488"/>
      <c r="J9" s="496" t="s">
        <v>364</v>
      </c>
      <c r="K9" s="497"/>
      <c r="L9" s="497"/>
      <c r="M9" s="497"/>
      <c r="N9" s="497"/>
      <c r="O9" s="497"/>
      <c r="P9" s="498"/>
      <c r="Q9" s="478" t="s">
        <v>365</v>
      </c>
      <c r="R9" s="478"/>
      <c r="S9" s="478"/>
      <c r="T9" s="478" t="s">
        <v>366</v>
      </c>
      <c r="U9" s="478"/>
      <c r="V9" s="478"/>
      <c r="W9" s="478"/>
      <c r="X9" s="478"/>
      <c r="Y9" s="478"/>
      <c r="Z9" s="489" t="s">
        <v>367</v>
      </c>
      <c r="AA9" s="490"/>
      <c r="AB9" s="490"/>
      <c r="AC9" s="491"/>
      <c r="AD9" s="488" t="s">
        <v>368</v>
      </c>
      <c r="AE9" s="503" t="s">
        <v>369</v>
      </c>
      <c r="AF9" s="482" t="s">
        <v>74</v>
      </c>
      <c r="AG9" s="478"/>
      <c r="AH9" s="154" t="s">
        <v>73</v>
      </c>
      <c r="AI9" s="173" t="s">
        <v>679</v>
      </c>
      <c r="AJ9" s="156" t="s">
        <v>679</v>
      </c>
      <c r="AK9" s="156" t="s">
        <v>680</v>
      </c>
      <c r="AL9" s="156" t="s">
        <v>679</v>
      </c>
      <c r="AM9" s="156" t="s">
        <v>680</v>
      </c>
      <c r="AN9" s="156" t="s">
        <v>679</v>
      </c>
      <c r="AO9" s="156" t="s">
        <v>679</v>
      </c>
      <c r="AP9" s="156" t="s">
        <v>681</v>
      </c>
      <c r="AQ9" s="156" t="s">
        <v>682</v>
      </c>
      <c r="AR9" s="156" t="s">
        <v>682</v>
      </c>
      <c r="AS9" s="156" t="s">
        <v>682</v>
      </c>
      <c r="AT9" s="156" t="s">
        <v>682</v>
      </c>
      <c r="AU9" s="156" t="s">
        <v>682</v>
      </c>
      <c r="AV9" s="156" t="s">
        <v>682</v>
      </c>
      <c r="AW9" s="156" t="s">
        <v>682</v>
      </c>
      <c r="AX9" s="156" t="s">
        <v>682</v>
      </c>
      <c r="AY9" s="156" t="s">
        <v>682</v>
      </c>
      <c r="AZ9" s="156" t="s">
        <v>682</v>
      </c>
      <c r="BA9" s="156" t="s">
        <v>44</v>
      </c>
      <c r="BB9" s="156" t="s">
        <v>62</v>
      </c>
      <c r="BC9" s="156" t="s">
        <v>62</v>
      </c>
      <c r="BD9" s="156" t="s">
        <v>62</v>
      </c>
      <c r="BE9" s="156" t="s">
        <v>62</v>
      </c>
      <c r="BF9" s="156" t="s">
        <v>62</v>
      </c>
      <c r="BG9" s="156" t="s">
        <v>62</v>
      </c>
      <c r="BH9" s="174" t="s">
        <v>973</v>
      </c>
      <c r="BI9" s="156" t="s">
        <v>217</v>
      </c>
      <c r="BJ9" s="156" t="s">
        <v>62</v>
      </c>
      <c r="BK9" s="156" t="s">
        <v>62</v>
      </c>
      <c r="BL9" s="158" t="s">
        <v>171</v>
      </c>
      <c r="BM9" s="156" t="s">
        <v>44</v>
      </c>
      <c r="BN9" s="174" t="s">
        <v>685</v>
      </c>
      <c r="BO9" s="156" t="s">
        <v>686</v>
      </c>
      <c r="BP9" s="156" t="s">
        <v>62</v>
      </c>
      <c r="BQ9" s="156" t="s">
        <v>687</v>
      </c>
      <c r="BR9" s="156" t="s">
        <v>44</v>
      </c>
      <c r="BS9" s="156" t="s">
        <v>44</v>
      </c>
      <c r="BT9" s="156" t="s">
        <v>44</v>
      </c>
      <c r="BU9" s="158" t="s">
        <v>45</v>
      </c>
      <c r="BV9" s="156" t="s">
        <v>62</v>
      </c>
      <c r="BW9" s="156" t="s">
        <v>62</v>
      </c>
      <c r="BX9" s="156" t="s">
        <v>62</v>
      </c>
      <c r="BY9" s="156" t="s">
        <v>62</v>
      </c>
      <c r="BZ9" s="156" t="s">
        <v>62</v>
      </c>
      <c r="CA9" s="156" t="s">
        <v>62</v>
      </c>
      <c r="CB9" s="156" t="s">
        <v>688</v>
      </c>
      <c r="CC9" s="156" t="s">
        <v>62</v>
      </c>
      <c r="CD9" s="156" t="s">
        <v>62</v>
      </c>
      <c r="CE9" s="156" t="s">
        <v>688</v>
      </c>
      <c r="CF9" s="156" t="s">
        <v>688</v>
      </c>
      <c r="CG9" s="156" t="s">
        <v>688</v>
      </c>
      <c r="CH9" s="156" t="s">
        <v>688</v>
      </c>
      <c r="CI9" s="156" t="s">
        <v>688</v>
      </c>
      <c r="CJ9" s="156" t="s">
        <v>62</v>
      </c>
      <c r="CK9" s="156" t="s">
        <v>688</v>
      </c>
      <c r="CL9" s="156" t="s">
        <v>688</v>
      </c>
      <c r="CM9" s="156" t="s">
        <v>688</v>
      </c>
      <c r="CN9" s="156" t="s">
        <v>688</v>
      </c>
      <c r="CO9" s="156" t="s">
        <v>688</v>
      </c>
      <c r="CP9" s="156" t="s">
        <v>974</v>
      </c>
      <c r="CQ9" s="156" t="s">
        <v>974</v>
      </c>
      <c r="CR9" s="156" t="s">
        <v>974</v>
      </c>
      <c r="CS9" s="156" t="s">
        <v>974</v>
      </c>
      <c r="CT9" s="156" t="s">
        <v>688</v>
      </c>
      <c r="CU9" s="156" t="s">
        <v>688</v>
      </c>
      <c r="CV9" s="156" t="s">
        <v>688</v>
      </c>
      <c r="CW9" s="156" t="s">
        <v>688</v>
      </c>
      <c r="CX9" s="156" t="s">
        <v>688</v>
      </c>
      <c r="CY9" s="156" t="s">
        <v>688</v>
      </c>
      <c r="CZ9" s="156" t="s">
        <v>688</v>
      </c>
      <c r="DA9" s="156" t="s">
        <v>688</v>
      </c>
      <c r="DB9" s="156" t="s">
        <v>688</v>
      </c>
      <c r="DC9" s="156" t="s">
        <v>688</v>
      </c>
      <c r="DD9" s="156" t="s">
        <v>688</v>
      </c>
      <c r="DE9" s="156" t="s">
        <v>688</v>
      </c>
      <c r="DF9" s="156" t="s">
        <v>688</v>
      </c>
      <c r="DG9" s="156" t="s">
        <v>688</v>
      </c>
      <c r="DH9" s="156" t="s">
        <v>688</v>
      </c>
      <c r="DI9" s="156" t="s">
        <v>688</v>
      </c>
      <c r="DJ9" s="156" t="s">
        <v>688</v>
      </c>
      <c r="DK9" s="156" t="s">
        <v>688</v>
      </c>
      <c r="DL9" s="156" t="s">
        <v>688</v>
      </c>
      <c r="DM9" s="156" t="s">
        <v>688</v>
      </c>
      <c r="DN9" s="156" t="s">
        <v>688</v>
      </c>
      <c r="DO9" s="156" t="s">
        <v>688</v>
      </c>
      <c r="DP9" s="156" t="s">
        <v>688</v>
      </c>
      <c r="DQ9" s="156" t="s">
        <v>688</v>
      </c>
      <c r="DR9" s="156" t="s">
        <v>688</v>
      </c>
      <c r="DS9" s="156" t="s">
        <v>688</v>
      </c>
      <c r="DT9" s="156" t="s">
        <v>688</v>
      </c>
      <c r="DU9" s="156" t="s">
        <v>688</v>
      </c>
      <c r="DV9" s="156" t="s">
        <v>688</v>
      </c>
      <c r="DW9" s="156" t="s">
        <v>688</v>
      </c>
      <c r="DX9" s="156" t="s">
        <v>688</v>
      </c>
      <c r="DY9" s="156" t="s">
        <v>688</v>
      </c>
      <c r="DZ9" s="156" t="s">
        <v>688</v>
      </c>
      <c r="EA9" s="156" t="s">
        <v>688</v>
      </c>
      <c r="EB9" s="156" t="s">
        <v>688</v>
      </c>
      <c r="EC9" s="156" t="s">
        <v>688</v>
      </c>
      <c r="ED9" s="156" t="s">
        <v>688</v>
      </c>
      <c r="EE9" s="156" t="s">
        <v>688</v>
      </c>
      <c r="EF9" s="156" t="s">
        <v>688</v>
      </c>
      <c r="EG9" s="156" t="s">
        <v>688</v>
      </c>
      <c r="EH9" s="156" t="s">
        <v>688</v>
      </c>
      <c r="EI9" s="156" t="s">
        <v>688</v>
      </c>
      <c r="EJ9" s="156" t="s">
        <v>688</v>
      </c>
      <c r="EK9" s="156" t="s">
        <v>688</v>
      </c>
      <c r="EL9" s="156" t="s">
        <v>688</v>
      </c>
      <c r="EM9" s="156" t="s">
        <v>688</v>
      </c>
      <c r="EN9" s="156" t="s">
        <v>688</v>
      </c>
      <c r="EO9" s="156" t="s">
        <v>688</v>
      </c>
      <c r="EP9" s="156" t="s">
        <v>688</v>
      </c>
      <c r="EQ9" s="156" t="s">
        <v>688</v>
      </c>
      <c r="ER9" s="156" t="s">
        <v>688</v>
      </c>
      <c r="ES9" s="156" t="s">
        <v>688</v>
      </c>
      <c r="ET9" s="156" t="s">
        <v>688</v>
      </c>
      <c r="EU9" s="156" t="s">
        <v>688</v>
      </c>
      <c r="EV9" s="156" t="s">
        <v>688</v>
      </c>
      <c r="EW9" s="156" t="s">
        <v>688</v>
      </c>
      <c r="EX9" s="156" t="s">
        <v>688</v>
      </c>
      <c r="EY9" s="156" t="s">
        <v>688</v>
      </c>
      <c r="EZ9" s="156" t="s">
        <v>688</v>
      </c>
      <c r="FA9" s="156" t="s">
        <v>688</v>
      </c>
      <c r="FB9" s="156" t="s">
        <v>688</v>
      </c>
      <c r="FC9" s="156" t="s">
        <v>688</v>
      </c>
      <c r="FD9" s="156" t="s">
        <v>688</v>
      </c>
      <c r="FE9" s="156" t="s">
        <v>688</v>
      </c>
      <c r="FF9" s="156" t="s">
        <v>688</v>
      </c>
      <c r="FG9" s="156" t="s">
        <v>688</v>
      </c>
      <c r="FH9" s="156" t="s">
        <v>688</v>
      </c>
      <c r="FI9" s="156" t="s">
        <v>688</v>
      </c>
      <c r="FJ9" s="156" t="s">
        <v>688</v>
      </c>
      <c r="FK9" s="156" t="s">
        <v>688</v>
      </c>
      <c r="FL9" s="156" t="s">
        <v>688</v>
      </c>
      <c r="FM9" s="156" t="s">
        <v>688</v>
      </c>
      <c r="FN9" s="156" t="s">
        <v>688</v>
      </c>
      <c r="FO9" s="156" t="s">
        <v>688</v>
      </c>
      <c r="FP9" s="156" t="s">
        <v>688</v>
      </c>
      <c r="FQ9" s="156" t="s">
        <v>688</v>
      </c>
      <c r="FR9" s="156" t="s">
        <v>688</v>
      </c>
      <c r="FS9" s="156" t="s">
        <v>688</v>
      </c>
      <c r="FT9" s="156" t="s">
        <v>688</v>
      </c>
      <c r="FU9" s="156" t="s">
        <v>688</v>
      </c>
      <c r="FV9" s="156" t="s">
        <v>688</v>
      </c>
      <c r="FW9" s="156" t="s">
        <v>688</v>
      </c>
      <c r="FX9" s="156" t="s">
        <v>688</v>
      </c>
      <c r="FY9" s="160" t="s">
        <v>511</v>
      </c>
    </row>
    <row r="10" spans="1:181" ht="18" customHeight="1" x14ac:dyDescent="0.25">
      <c r="A10" s="408" t="s">
        <v>980</v>
      </c>
      <c r="B10" s="487"/>
      <c r="C10" s="414"/>
      <c r="D10" s="409"/>
      <c r="E10" s="409"/>
      <c r="F10" s="409"/>
      <c r="G10" s="414"/>
      <c r="H10" s="414"/>
      <c r="I10" s="414"/>
      <c r="J10" s="499"/>
      <c r="K10" s="500"/>
      <c r="L10" s="500"/>
      <c r="M10" s="500"/>
      <c r="N10" s="500"/>
      <c r="O10" s="500"/>
      <c r="P10" s="501"/>
      <c r="Q10" s="55" t="s">
        <v>370</v>
      </c>
      <c r="R10" s="409" t="s">
        <v>371</v>
      </c>
      <c r="S10" s="484" t="s">
        <v>372</v>
      </c>
      <c r="T10" s="409"/>
      <c r="U10" s="409"/>
      <c r="V10" s="409"/>
      <c r="W10" s="409"/>
      <c r="X10" s="409"/>
      <c r="Y10" s="409"/>
      <c r="Z10" s="409" t="s">
        <v>373</v>
      </c>
      <c r="AA10" s="495" t="s">
        <v>310</v>
      </c>
      <c r="AB10" s="487"/>
      <c r="AC10" s="409" t="s">
        <v>372</v>
      </c>
      <c r="AD10" s="413"/>
      <c r="AE10" s="504"/>
      <c r="AF10" s="483"/>
      <c r="AG10" s="409"/>
      <c r="AH10" s="167" t="s">
        <v>689</v>
      </c>
      <c r="AI10" s="175" t="s">
        <v>690</v>
      </c>
      <c r="AJ10" s="169" t="s">
        <v>690</v>
      </c>
      <c r="AK10" s="169" t="s">
        <v>691</v>
      </c>
      <c r="AL10" s="169" t="s">
        <v>690</v>
      </c>
      <c r="AM10" s="169" t="s">
        <v>691</v>
      </c>
      <c r="AN10" s="169" t="s">
        <v>690</v>
      </c>
      <c r="AO10" s="169" t="s">
        <v>690</v>
      </c>
      <c r="AP10" s="176" t="s">
        <v>681</v>
      </c>
      <c r="AQ10" s="176" t="s">
        <v>682</v>
      </c>
      <c r="AR10" s="176" t="s">
        <v>682</v>
      </c>
      <c r="AS10" s="176" t="s">
        <v>682</v>
      </c>
      <c r="AT10" s="176" t="s">
        <v>682</v>
      </c>
      <c r="AU10" s="176" t="s">
        <v>682</v>
      </c>
      <c r="AV10" s="176" t="s">
        <v>682</v>
      </c>
      <c r="AW10" s="176" t="s">
        <v>682</v>
      </c>
      <c r="AX10" s="176" t="s">
        <v>682</v>
      </c>
      <c r="AY10" s="176" t="s">
        <v>682</v>
      </c>
      <c r="AZ10" s="176" t="s">
        <v>682</v>
      </c>
      <c r="BA10" s="169" t="s">
        <v>44</v>
      </c>
      <c r="BB10" s="169" t="s">
        <v>692</v>
      </c>
      <c r="BC10" s="169" t="s">
        <v>692</v>
      </c>
      <c r="BD10" s="169" t="s">
        <v>692</v>
      </c>
      <c r="BE10" s="169" t="s">
        <v>692</v>
      </c>
      <c r="BF10" s="169" t="s">
        <v>692</v>
      </c>
      <c r="BG10" s="169" t="s">
        <v>692</v>
      </c>
      <c r="BH10" s="169" t="s">
        <v>683</v>
      </c>
      <c r="BI10" s="169" t="s">
        <v>693</v>
      </c>
      <c r="BJ10" s="169" t="s">
        <v>692</v>
      </c>
      <c r="BK10" s="169" t="s">
        <v>692</v>
      </c>
      <c r="BL10" s="169" t="s">
        <v>694</v>
      </c>
      <c r="BM10" s="169" t="s">
        <v>44</v>
      </c>
      <c r="BN10" s="169" t="s">
        <v>695</v>
      </c>
      <c r="BO10" s="169" t="s">
        <v>696</v>
      </c>
      <c r="BP10" s="169" t="s">
        <v>692</v>
      </c>
      <c r="BQ10" s="169" t="s">
        <v>687</v>
      </c>
      <c r="BR10" s="169" t="s">
        <v>44</v>
      </c>
      <c r="BS10" s="169" t="s">
        <v>44</v>
      </c>
      <c r="BT10" s="169" t="s">
        <v>44</v>
      </c>
      <c r="BU10" s="169" t="s">
        <v>692</v>
      </c>
      <c r="BV10" s="169" t="s">
        <v>692</v>
      </c>
      <c r="BW10" s="169" t="s">
        <v>692</v>
      </c>
      <c r="BX10" s="169" t="s">
        <v>692</v>
      </c>
      <c r="BY10" s="169" t="s">
        <v>692</v>
      </c>
      <c r="BZ10" s="169" t="s">
        <v>692</v>
      </c>
      <c r="CA10" s="169" t="s">
        <v>692</v>
      </c>
      <c r="CB10" s="169" t="s">
        <v>697</v>
      </c>
      <c r="CC10" s="169" t="s">
        <v>692</v>
      </c>
      <c r="CD10" s="169" t="s">
        <v>692</v>
      </c>
      <c r="CE10" s="169" t="s">
        <v>697</v>
      </c>
      <c r="CF10" s="169" t="s">
        <v>697</v>
      </c>
      <c r="CG10" s="169" t="s">
        <v>697</v>
      </c>
      <c r="CH10" s="169" t="s">
        <v>697</v>
      </c>
      <c r="CI10" s="169" t="s">
        <v>697</v>
      </c>
      <c r="CJ10" s="169" t="s">
        <v>692</v>
      </c>
      <c r="CK10" s="169" t="s">
        <v>697</v>
      </c>
      <c r="CL10" s="169" t="s">
        <v>697</v>
      </c>
      <c r="CM10" s="169" t="s">
        <v>697</v>
      </c>
      <c r="CN10" s="169" t="s">
        <v>697</v>
      </c>
      <c r="CO10" s="169" t="s">
        <v>697</v>
      </c>
      <c r="CP10" s="169" t="s">
        <v>698</v>
      </c>
      <c r="CQ10" s="169" t="s">
        <v>698</v>
      </c>
      <c r="CR10" s="169" t="s">
        <v>698</v>
      </c>
      <c r="CS10" s="169" t="s">
        <v>698</v>
      </c>
      <c r="CT10" s="169" t="s">
        <v>697</v>
      </c>
      <c r="CU10" s="169" t="s">
        <v>697</v>
      </c>
      <c r="CV10" s="169" t="s">
        <v>697</v>
      </c>
      <c r="CW10" s="169" t="s">
        <v>697</v>
      </c>
      <c r="CX10" s="169" t="s">
        <v>697</v>
      </c>
      <c r="CY10" s="169" t="s">
        <v>697</v>
      </c>
      <c r="CZ10" s="169" t="s">
        <v>697</v>
      </c>
      <c r="DA10" s="169" t="s">
        <v>697</v>
      </c>
      <c r="DB10" s="169" t="s">
        <v>697</v>
      </c>
      <c r="DC10" s="169" t="s">
        <v>697</v>
      </c>
      <c r="DD10" s="169" t="s">
        <v>697</v>
      </c>
      <c r="DE10" s="169" t="s">
        <v>697</v>
      </c>
      <c r="DF10" s="169" t="s">
        <v>697</v>
      </c>
      <c r="DG10" s="169" t="s">
        <v>697</v>
      </c>
      <c r="DH10" s="169" t="s">
        <v>697</v>
      </c>
      <c r="DI10" s="169" t="s">
        <v>697</v>
      </c>
      <c r="DJ10" s="169" t="s">
        <v>697</v>
      </c>
      <c r="DK10" s="169" t="s">
        <v>697</v>
      </c>
      <c r="DL10" s="169" t="s">
        <v>697</v>
      </c>
      <c r="DM10" s="169" t="s">
        <v>697</v>
      </c>
      <c r="DN10" s="169" t="s">
        <v>697</v>
      </c>
      <c r="DO10" s="169" t="s">
        <v>697</v>
      </c>
      <c r="DP10" s="169" t="s">
        <v>697</v>
      </c>
      <c r="DQ10" s="169" t="s">
        <v>697</v>
      </c>
      <c r="DR10" s="169" t="s">
        <v>697</v>
      </c>
      <c r="DS10" s="169" t="s">
        <v>697</v>
      </c>
      <c r="DT10" s="169" t="s">
        <v>697</v>
      </c>
      <c r="DU10" s="169" t="s">
        <v>697</v>
      </c>
      <c r="DV10" s="169" t="s">
        <v>697</v>
      </c>
      <c r="DW10" s="169" t="s">
        <v>697</v>
      </c>
      <c r="DX10" s="169" t="s">
        <v>697</v>
      </c>
      <c r="DY10" s="169" t="s">
        <v>697</v>
      </c>
      <c r="DZ10" s="169" t="s">
        <v>697</v>
      </c>
      <c r="EA10" s="169" t="s">
        <v>697</v>
      </c>
      <c r="EB10" s="169" t="s">
        <v>697</v>
      </c>
      <c r="EC10" s="169" t="s">
        <v>697</v>
      </c>
      <c r="ED10" s="169" t="s">
        <v>697</v>
      </c>
      <c r="EE10" s="169" t="s">
        <v>697</v>
      </c>
      <c r="EF10" s="169" t="s">
        <v>697</v>
      </c>
      <c r="EG10" s="169" t="s">
        <v>697</v>
      </c>
      <c r="EH10" s="169" t="s">
        <v>697</v>
      </c>
      <c r="EI10" s="169" t="s">
        <v>697</v>
      </c>
      <c r="EJ10" s="169" t="s">
        <v>697</v>
      </c>
      <c r="EK10" s="169" t="s">
        <v>697</v>
      </c>
      <c r="EL10" s="169" t="s">
        <v>697</v>
      </c>
      <c r="EM10" s="169" t="s">
        <v>697</v>
      </c>
      <c r="EN10" s="169" t="s">
        <v>697</v>
      </c>
      <c r="EO10" s="169" t="s">
        <v>697</v>
      </c>
      <c r="EP10" s="169" t="s">
        <v>697</v>
      </c>
      <c r="EQ10" s="169" t="s">
        <v>697</v>
      </c>
      <c r="ER10" s="169" t="s">
        <v>697</v>
      </c>
      <c r="ES10" s="169" t="s">
        <v>697</v>
      </c>
      <c r="ET10" s="169" t="s">
        <v>697</v>
      </c>
      <c r="EU10" s="169" t="s">
        <v>697</v>
      </c>
      <c r="EV10" s="169" t="s">
        <v>697</v>
      </c>
      <c r="EW10" s="169" t="s">
        <v>697</v>
      </c>
      <c r="EX10" s="169" t="s">
        <v>697</v>
      </c>
      <c r="EY10" s="169" t="s">
        <v>697</v>
      </c>
      <c r="EZ10" s="169" t="s">
        <v>697</v>
      </c>
      <c r="FA10" s="169" t="s">
        <v>697</v>
      </c>
      <c r="FB10" s="169" t="s">
        <v>697</v>
      </c>
      <c r="FC10" s="169" t="s">
        <v>697</v>
      </c>
      <c r="FD10" s="169" t="s">
        <v>697</v>
      </c>
      <c r="FE10" s="169" t="s">
        <v>697</v>
      </c>
      <c r="FF10" s="169" t="s">
        <v>697</v>
      </c>
      <c r="FG10" s="169" t="s">
        <v>697</v>
      </c>
      <c r="FH10" s="169" t="s">
        <v>697</v>
      </c>
      <c r="FI10" s="169" t="s">
        <v>697</v>
      </c>
      <c r="FJ10" s="169" t="s">
        <v>697</v>
      </c>
      <c r="FK10" s="169" t="s">
        <v>697</v>
      </c>
      <c r="FL10" s="169" t="s">
        <v>697</v>
      </c>
      <c r="FM10" s="169" t="s">
        <v>697</v>
      </c>
      <c r="FN10" s="169" t="s">
        <v>697</v>
      </c>
      <c r="FO10" s="169" t="s">
        <v>697</v>
      </c>
      <c r="FP10" s="169" t="s">
        <v>697</v>
      </c>
      <c r="FQ10" s="169" t="s">
        <v>697</v>
      </c>
      <c r="FR10" s="169" t="s">
        <v>697</v>
      </c>
      <c r="FS10" s="169" t="s">
        <v>697</v>
      </c>
      <c r="FT10" s="169" t="s">
        <v>697</v>
      </c>
      <c r="FU10" s="169" t="s">
        <v>697</v>
      </c>
      <c r="FV10" s="169" t="s">
        <v>697</v>
      </c>
      <c r="FW10" s="169" t="s">
        <v>697</v>
      </c>
      <c r="FX10" s="169" t="s">
        <v>697</v>
      </c>
      <c r="FY10" s="166" t="s">
        <v>511</v>
      </c>
    </row>
    <row r="11" spans="1:181" ht="18" customHeight="1" thickBot="1" x14ac:dyDescent="0.3">
      <c r="A11" s="406" t="s">
        <v>374</v>
      </c>
      <c r="B11" s="178" t="s">
        <v>941</v>
      </c>
      <c r="C11" s="177" t="s">
        <v>278</v>
      </c>
      <c r="D11" s="177" t="s">
        <v>279</v>
      </c>
      <c r="E11" s="178" t="s">
        <v>372</v>
      </c>
      <c r="F11" s="177" t="s">
        <v>280</v>
      </c>
      <c r="G11" s="179" t="s">
        <v>375</v>
      </c>
      <c r="H11" s="180" t="s">
        <v>50</v>
      </c>
      <c r="I11" s="180" t="s">
        <v>51</v>
      </c>
      <c r="J11" s="181" t="s">
        <v>73</v>
      </c>
      <c r="K11" s="177" t="s">
        <v>281</v>
      </c>
      <c r="L11" s="178" t="s">
        <v>372</v>
      </c>
      <c r="M11" s="384" t="s">
        <v>866</v>
      </c>
      <c r="N11" s="384" t="s">
        <v>863</v>
      </c>
      <c r="O11" s="384" t="s">
        <v>864</v>
      </c>
      <c r="P11" s="384" t="s">
        <v>865</v>
      </c>
      <c r="Q11" s="177" t="s">
        <v>376</v>
      </c>
      <c r="R11" s="481"/>
      <c r="S11" s="485"/>
      <c r="T11" s="182" t="s">
        <v>282</v>
      </c>
      <c r="U11" s="183" t="s">
        <v>977</v>
      </c>
      <c r="V11" s="183" t="s">
        <v>377</v>
      </c>
      <c r="W11" s="184" t="s">
        <v>283</v>
      </c>
      <c r="X11" s="179" t="s">
        <v>284</v>
      </c>
      <c r="Y11" s="184" t="s">
        <v>372</v>
      </c>
      <c r="Z11" s="481"/>
      <c r="AA11" s="405" t="s">
        <v>960</v>
      </c>
      <c r="AB11" s="399" t="s">
        <v>961</v>
      </c>
      <c r="AC11" s="481"/>
      <c r="AD11" s="502"/>
      <c r="AE11" s="505"/>
      <c r="AF11" s="480"/>
      <c r="AG11" s="481"/>
      <c r="AH11" s="170" t="s">
        <v>678</v>
      </c>
      <c r="AI11" s="185" t="s">
        <v>920</v>
      </c>
      <c r="AJ11" s="185" t="s">
        <v>920</v>
      </c>
      <c r="AK11" s="185" t="s">
        <v>921</v>
      </c>
      <c r="AL11" s="185" t="s">
        <v>920</v>
      </c>
      <c r="AM11" s="185" t="s">
        <v>921</v>
      </c>
      <c r="AN11" s="185" t="s">
        <v>920</v>
      </c>
      <c r="AO11" s="185" t="s">
        <v>920</v>
      </c>
      <c r="AP11" s="185" t="s">
        <v>922</v>
      </c>
      <c r="AQ11" s="185" t="s">
        <v>923</v>
      </c>
      <c r="AR11" s="185" t="s">
        <v>923</v>
      </c>
      <c r="AS11" s="185" t="s">
        <v>923</v>
      </c>
      <c r="AT11" s="185" t="s">
        <v>923</v>
      </c>
      <c r="AU11" s="185" t="s">
        <v>923</v>
      </c>
      <c r="AV11" s="185" t="s">
        <v>923</v>
      </c>
      <c r="AW11" s="185" t="s">
        <v>923</v>
      </c>
      <c r="AX11" s="185" t="s">
        <v>923</v>
      </c>
      <c r="AY11" s="185" t="s">
        <v>923</v>
      </c>
      <c r="AZ11" s="185" t="s">
        <v>923</v>
      </c>
      <c r="BA11" s="185" t="s">
        <v>44</v>
      </c>
      <c r="BB11" s="185" t="s">
        <v>45</v>
      </c>
      <c r="BC11" s="185" t="s">
        <v>45</v>
      </c>
      <c r="BD11" s="185" t="s">
        <v>45</v>
      </c>
      <c r="BE11" s="185" t="s">
        <v>45</v>
      </c>
      <c r="BF11" s="185" t="s">
        <v>45</v>
      </c>
      <c r="BG11" s="185" t="s">
        <v>45</v>
      </c>
      <c r="BH11" s="185" t="s">
        <v>924</v>
      </c>
      <c r="BI11" s="185" t="s">
        <v>925</v>
      </c>
      <c r="BJ11" s="185" t="s">
        <v>45</v>
      </c>
      <c r="BK11" s="185" t="s">
        <v>45</v>
      </c>
      <c r="BL11" s="185" t="s">
        <v>684</v>
      </c>
      <c r="BM11" s="185" t="s">
        <v>44</v>
      </c>
      <c r="BN11" s="185" t="s">
        <v>926</v>
      </c>
      <c r="BO11" s="185" t="s">
        <v>686</v>
      </c>
      <c r="BP11" s="185" t="s">
        <v>45</v>
      </c>
      <c r="BQ11" s="185" t="s">
        <v>687</v>
      </c>
      <c r="BR11" s="185" t="s">
        <v>44</v>
      </c>
      <c r="BS11" s="185" t="s">
        <v>44</v>
      </c>
      <c r="BT11" s="185" t="s">
        <v>44</v>
      </c>
      <c r="BU11" s="185" t="s">
        <v>45</v>
      </c>
      <c r="BV11" s="185" t="s">
        <v>45</v>
      </c>
      <c r="BW11" s="185" t="s">
        <v>45</v>
      </c>
      <c r="BX11" s="185" t="s">
        <v>45</v>
      </c>
      <c r="BY11" s="185" t="s">
        <v>45</v>
      </c>
      <c r="BZ11" s="185" t="s">
        <v>45</v>
      </c>
      <c r="CA11" s="185" t="s">
        <v>45</v>
      </c>
      <c r="CB11" s="185" t="s">
        <v>688</v>
      </c>
      <c r="CC11" s="185" t="s">
        <v>45</v>
      </c>
      <c r="CD11" s="185" t="s">
        <v>45</v>
      </c>
      <c r="CE11" s="185" t="s">
        <v>688</v>
      </c>
      <c r="CF11" s="185" t="s">
        <v>688</v>
      </c>
      <c r="CG11" s="185" t="s">
        <v>688</v>
      </c>
      <c r="CH11" s="185" t="s">
        <v>688</v>
      </c>
      <c r="CI11" s="185" t="s">
        <v>688</v>
      </c>
      <c r="CJ11" s="185" t="s">
        <v>45</v>
      </c>
      <c r="CK11" s="185" t="s">
        <v>688</v>
      </c>
      <c r="CL11" s="185" t="s">
        <v>688</v>
      </c>
      <c r="CM11" s="185" t="s">
        <v>688</v>
      </c>
      <c r="CN11" s="185" t="s">
        <v>688</v>
      </c>
      <c r="CO11" s="185" t="s">
        <v>688</v>
      </c>
      <c r="CP11" s="185" t="s">
        <v>927</v>
      </c>
      <c r="CQ11" s="185" t="s">
        <v>927</v>
      </c>
      <c r="CR11" s="185" t="s">
        <v>927</v>
      </c>
      <c r="CS11" s="185" t="s">
        <v>927</v>
      </c>
      <c r="CT11" s="185" t="s">
        <v>688</v>
      </c>
      <c r="CU11" s="185" t="s">
        <v>688</v>
      </c>
      <c r="CV11" s="185" t="s">
        <v>688</v>
      </c>
      <c r="CW11" s="185" t="s">
        <v>688</v>
      </c>
      <c r="CX11" s="185" t="s">
        <v>688</v>
      </c>
      <c r="CY11" s="185" t="s">
        <v>688</v>
      </c>
      <c r="CZ11" s="185" t="s">
        <v>688</v>
      </c>
      <c r="DA11" s="185" t="s">
        <v>688</v>
      </c>
      <c r="DB11" s="185" t="s">
        <v>688</v>
      </c>
      <c r="DC11" s="185" t="s">
        <v>688</v>
      </c>
      <c r="DD11" s="185" t="s">
        <v>688</v>
      </c>
      <c r="DE11" s="185" t="s">
        <v>688</v>
      </c>
      <c r="DF11" s="185" t="s">
        <v>688</v>
      </c>
      <c r="DG11" s="185" t="s">
        <v>688</v>
      </c>
      <c r="DH11" s="185" t="s">
        <v>688</v>
      </c>
      <c r="DI11" s="185" t="s">
        <v>688</v>
      </c>
      <c r="DJ11" s="185" t="s">
        <v>688</v>
      </c>
      <c r="DK11" s="185" t="s">
        <v>688</v>
      </c>
      <c r="DL11" s="185" t="s">
        <v>688</v>
      </c>
      <c r="DM11" s="185" t="s">
        <v>688</v>
      </c>
      <c r="DN11" s="185" t="s">
        <v>688</v>
      </c>
      <c r="DO11" s="185" t="s">
        <v>688</v>
      </c>
      <c r="DP11" s="185" t="s">
        <v>688</v>
      </c>
      <c r="DQ11" s="185" t="s">
        <v>688</v>
      </c>
      <c r="DR11" s="185" t="s">
        <v>688</v>
      </c>
      <c r="DS11" s="185" t="s">
        <v>688</v>
      </c>
      <c r="DT11" s="185" t="s">
        <v>688</v>
      </c>
      <c r="DU11" s="185" t="s">
        <v>688</v>
      </c>
      <c r="DV11" s="185" t="s">
        <v>688</v>
      </c>
      <c r="DW11" s="185" t="s">
        <v>688</v>
      </c>
      <c r="DX11" s="185" t="s">
        <v>688</v>
      </c>
      <c r="DY11" s="185" t="s">
        <v>688</v>
      </c>
      <c r="DZ11" s="185" t="s">
        <v>688</v>
      </c>
      <c r="EA11" s="185" t="s">
        <v>688</v>
      </c>
      <c r="EB11" s="185" t="s">
        <v>688</v>
      </c>
      <c r="EC11" s="185" t="s">
        <v>688</v>
      </c>
      <c r="ED11" s="185" t="s">
        <v>688</v>
      </c>
      <c r="EE11" s="185" t="s">
        <v>688</v>
      </c>
      <c r="EF11" s="185" t="s">
        <v>688</v>
      </c>
      <c r="EG11" s="185" t="s">
        <v>688</v>
      </c>
      <c r="EH11" s="185" t="s">
        <v>688</v>
      </c>
      <c r="EI11" s="185" t="s">
        <v>688</v>
      </c>
      <c r="EJ11" s="185" t="s">
        <v>688</v>
      </c>
      <c r="EK11" s="185" t="s">
        <v>688</v>
      </c>
      <c r="EL11" s="185" t="s">
        <v>688</v>
      </c>
      <c r="EM11" s="185" t="s">
        <v>688</v>
      </c>
      <c r="EN11" s="185" t="s">
        <v>688</v>
      </c>
      <c r="EO11" s="185" t="s">
        <v>688</v>
      </c>
      <c r="EP11" s="185" t="s">
        <v>688</v>
      </c>
      <c r="EQ11" s="185" t="s">
        <v>688</v>
      </c>
      <c r="ER11" s="185" t="s">
        <v>688</v>
      </c>
      <c r="ES11" s="185" t="s">
        <v>688</v>
      </c>
      <c r="ET11" s="185" t="s">
        <v>688</v>
      </c>
      <c r="EU11" s="185" t="s">
        <v>688</v>
      </c>
      <c r="EV11" s="185" t="s">
        <v>688</v>
      </c>
      <c r="EW11" s="185" t="s">
        <v>688</v>
      </c>
      <c r="EX11" s="185" t="s">
        <v>688</v>
      </c>
      <c r="EY11" s="185" t="s">
        <v>688</v>
      </c>
      <c r="EZ11" s="185" t="s">
        <v>688</v>
      </c>
      <c r="FA11" s="185" t="s">
        <v>688</v>
      </c>
      <c r="FB11" s="185" t="s">
        <v>688</v>
      </c>
      <c r="FC11" s="185" t="s">
        <v>688</v>
      </c>
      <c r="FD11" s="185" t="s">
        <v>688</v>
      </c>
      <c r="FE11" s="185" t="s">
        <v>688</v>
      </c>
      <c r="FF11" s="185" t="s">
        <v>688</v>
      </c>
      <c r="FG11" s="185" t="s">
        <v>688</v>
      </c>
      <c r="FH11" s="185" t="s">
        <v>688</v>
      </c>
      <c r="FI11" s="185" t="s">
        <v>688</v>
      </c>
      <c r="FJ11" s="185" t="s">
        <v>688</v>
      </c>
      <c r="FK11" s="185" t="s">
        <v>688</v>
      </c>
      <c r="FL11" s="185" t="s">
        <v>688</v>
      </c>
      <c r="FM11" s="185" t="s">
        <v>688</v>
      </c>
      <c r="FN11" s="185" t="s">
        <v>688</v>
      </c>
      <c r="FO11" s="185" t="s">
        <v>688</v>
      </c>
      <c r="FP11" s="185" t="s">
        <v>688</v>
      </c>
      <c r="FQ11" s="185" t="s">
        <v>688</v>
      </c>
      <c r="FR11" s="185" t="s">
        <v>688</v>
      </c>
      <c r="FS11" s="185" t="s">
        <v>688</v>
      </c>
      <c r="FT11" s="185" t="s">
        <v>688</v>
      </c>
      <c r="FU11" s="185" t="s">
        <v>688</v>
      </c>
      <c r="FV11" s="185" t="s">
        <v>688</v>
      </c>
      <c r="FW11" s="185" t="s">
        <v>688</v>
      </c>
      <c r="FX11" s="185" t="s">
        <v>688</v>
      </c>
      <c r="FY11" s="172" t="s">
        <v>511</v>
      </c>
    </row>
    <row r="12" spans="1:181" ht="16.149999999999999" customHeight="1" thickBot="1" x14ac:dyDescent="0.3">
      <c r="A12" s="186">
        <f>Minták!B5</f>
        <v>1</v>
      </c>
      <c r="B12" s="187"/>
      <c r="C12" s="22" t="str">
        <f>Minták!I5</f>
        <v>KUT</v>
      </c>
      <c r="D12" s="22">
        <f>Minták!J5</f>
        <v>20511827</v>
      </c>
      <c r="E12" s="188" t="s">
        <v>699</v>
      </c>
      <c r="F12" s="22" t="str">
        <f>Minták!L5</f>
        <v>U</v>
      </c>
      <c r="G12" s="189">
        <f>MV!L7</f>
        <v>45292</v>
      </c>
      <c r="H12" s="190">
        <f t="shared" ref="H12:H27" si="0">YEAR(G12)</f>
        <v>2024</v>
      </c>
      <c r="I12" s="190">
        <f t="shared" ref="I12:I27" si="1">IF(MONTH(G12)&lt;4,1,     IF(MONTH(G12)&lt;7,2,         IF(MONTH(G12)&lt;10,3,   IF(MONTH(G12)&lt;13,4,  "----"))))</f>
        <v>1</v>
      </c>
      <c r="J12" s="1" t="str">
        <f>Minták!O5</f>
        <v>Aqua Szolgáltató Kft. Vizsgáló-laboratórium</v>
      </c>
      <c r="K12" s="25">
        <f>Minták!M5</f>
        <v>21889495</v>
      </c>
      <c r="L12" s="188" t="s">
        <v>699</v>
      </c>
      <c r="M12" s="24" t="str">
        <f>Minták!N5</f>
        <v>NAH-1-1650/2019</v>
      </c>
      <c r="N12" s="385">
        <f>Minták!E5</f>
        <v>45292</v>
      </c>
      <c r="O12" s="385">
        <f t="shared" ref="O12:O27" si="2">N12</f>
        <v>45292</v>
      </c>
      <c r="P12" s="385">
        <f>Minták!AU5</f>
        <v>45324</v>
      </c>
      <c r="Q12" s="22" t="str">
        <f>Minták!P5</f>
        <v>TERV</v>
      </c>
      <c r="R12" s="191" t="str">
        <f>Minták!Q5</f>
        <v>-</v>
      </c>
      <c r="S12" s="188" t="s">
        <v>699</v>
      </c>
      <c r="T12" s="26" t="str">
        <f>Minták!G5</f>
        <v>lLWVCL</v>
      </c>
      <c r="U12" s="192"/>
      <c r="V12" s="192"/>
      <c r="W12" s="193" t="str">
        <f>Minták!F5</f>
        <v>8351 Nhmzzmsdqh Nhhlz</v>
      </c>
      <c r="X12" s="25">
        <f>Minták!R5</f>
        <v>4225989267</v>
      </c>
      <c r="Y12" s="188" t="s">
        <v>699</v>
      </c>
      <c r="Z12" s="1" t="str">
        <f>Minták!S5</f>
        <v>igen</v>
      </c>
      <c r="AA12" s="25">
        <f>Minták!T5</f>
        <v>20479120</v>
      </c>
      <c r="AB12" s="24" t="str">
        <f>Minták!U5</f>
        <v>NAH-1-1398/2024</v>
      </c>
      <c r="AC12" s="188" t="s">
        <v>699</v>
      </c>
      <c r="AD12" s="26" t="s">
        <v>44</v>
      </c>
      <c r="AE12" s="157" t="str">
        <f>Minták!X5</f>
        <v>A</v>
      </c>
      <c r="AF12" s="26"/>
      <c r="AG12" s="26"/>
      <c r="AH12" s="26"/>
      <c r="AI12" s="194" t="s">
        <v>701</v>
      </c>
      <c r="AJ12" s="194" t="s">
        <v>701</v>
      </c>
      <c r="AK12" s="194" t="s">
        <v>701</v>
      </c>
      <c r="AL12" s="194" t="s">
        <v>701</v>
      </c>
      <c r="AM12" s="194" t="s">
        <v>701</v>
      </c>
      <c r="AN12" s="194" t="s">
        <v>701</v>
      </c>
      <c r="AO12" s="194" t="s">
        <v>701</v>
      </c>
      <c r="AP12" s="194" t="s">
        <v>701</v>
      </c>
      <c r="AQ12" s="194" t="s">
        <v>701</v>
      </c>
      <c r="AR12" s="194" t="s">
        <v>701</v>
      </c>
      <c r="AS12" s="194" t="s">
        <v>701</v>
      </c>
      <c r="AT12" s="194" t="s">
        <v>701</v>
      </c>
      <c r="AU12" s="194" t="s">
        <v>701</v>
      </c>
      <c r="AV12" s="194" t="s">
        <v>701</v>
      </c>
      <c r="AW12" s="194" t="s">
        <v>701</v>
      </c>
      <c r="AX12" s="194" t="s">
        <v>701</v>
      </c>
      <c r="AY12" s="194" t="s">
        <v>701</v>
      </c>
      <c r="AZ12" s="194" t="s">
        <v>701</v>
      </c>
      <c r="BA12" s="195" t="s">
        <v>701</v>
      </c>
      <c r="BB12" s="196" t="str">
        <f>IFERROR(IF(LEFT(Minták!BM5,1)="&lt;",Minták!BM5,VALUE(Minták!BM5)),"ures")</f>
        <v>&lt;0,04</v>
      </c>
      <c r="BC12" s="197" t="str">
        <f>IFERROR(IF(LEFT(Minták!BN5,1)="&lt;",Minták!BN5,VALUE(Minták!BN5)),"ures")</f>
        <v>&lt;1,00</v>
      </c>
      <c r="BD12" s="197" t="str">
        <f>IFERROR(IF(LEFT(Minták!BO5,1)="&lt;",Minták!BO5,VALUE(Minták!BO5)),"ures")</f>
        <v>&lt;0,02</v>
      </c>
      <c r="BE12" s="197" t="str">
        <f>IFERROR(IF(LEFT(Minták!BP5,1)="&lt;",Minták!BP5,VALUE(Minták!BP5)),"ures")</f>
        <v>&lt;0,03</v>
      </c>
      <c r="BF12" s="197" t="str">
        <f>IFERROR(IF(LEFT(Minták!BQ5,1)="&lt;",Minták!BQ5,VALUE(Minták!BQ5)),"ures")</f>
        <v>&lt;0,03</v>
      </c>
      <c r="BG12" s="197">
        <f>IFERROR(IF(LEFT(Minták!BR5,1)="&lt;",Minták!BR5,VALUE(Minták!BR5)),"ures")</f>
        <v>10</v>
      </c>
      <c r="BH12" s="197" t="str">
        <f>IFERROR(IF(LEFT(Minták!BS5,1)="&lt;",Minták!BS5,VALUE(Minták!BS5)),"ures")</f>
        <v>&lt;0,30</v>
      </c>
      <c r="BI12" s="197">
        <f>IFERROR(IF(LEFT(Minták!BT5,1)="&lt;",Minták!BT5,VALUE(Minták!BT5)),"ures")</f>
        <v>120</v>
      </c>
      <c r="BJ12" s="197">
        <f>IFERROR(IF(LEFT(Minták!BU5,1)="&lt;",Minták!BU5,VALUE(Minták!BU5)),"ures")</f>
        <v>42.9</v>
      </c>
      <c r="BK12" s="197">
        <f>IFERROR(IF(LEFT(Minták!BV5,1)="&lt;",Minták!BV5,VALUE(Minták!BV5)),"ures")</f>
        <v>26</v>
      </c>
      <c r="BL12" s="197">
        <f>IFERROR(IF(LEFT(Minták!BW5,1)="&lt;",Minták!BW5,VALUE(Minták!BW5)),"ures")</f>
        <v>3</v>
      </c>
      <c r="BM12" s="197">
        <f>IFERROR(IF(LEFT(Minták!BX5,1)="&lt;",Minták!BX5,VALUE(Minták!BX5)),"ures")</f>
        <v>7.02</v>
      </c>
      <c r="BN12" s="197">
        <f>IFERROR(IF(LEFT(Minták!BY5,1)="&lt;",Minták!BY5,VALUE(Minták!BY5)),"ures")</f>
        <v>400</v>
      </c>
      <c r="BO12" s="197">
        <f>IFERROR(IF(LEFT(Minták!BZ5,1)="&lt;",Minták!BZ5,VALUE(Minták!BZ5)),"ures")</f>
        <v>10</v>
      </c>
      <c r="BP12" s="197">
        <f>IFERROR(IF(LEFT(Minták!CA5,1)="&lt;",Minták!CA5,VALUE(Minták!CA5)),"ures")</f>
        <v>8</v>
      </c>
      <c r="BQ12" s="197">
        <f>IFERROR(IF(LEFT(Minták!CB5,1)="&lt;",Minták!CB5,VALUE(Minták!CB5)),"ures")</f>
        <v>0.1</v>
      </c>
      <c r="BR12" s="197" t="str">
        <f>IFERROR(Minták!CC5,"ures")</f>
        <v>szintelen</v>
      </c>
      <c r="BS12" s="197" t="str">
        <f>IFERROR(Minták!CD5,"ures")</f>
        <v>szagtalan</v>
      </c>
      <c r="BT12" s="197" t="str">
        <f>IFERROR(Minták!CE5,"ures")</f>
        <v>iztelen</v>
      </c>
      <c r="BU12" s="198">
        <f>IFERROR(IF(LEFT(Minták!CF5,1)="&lt;",Minták!CF5,VALUE(Minták!CF5)),"ures")</f>
        <v>183</v>
      </c>
      <c r="BV12" s="199" t="s">
        <v>701</v>
      </c>
      <c r="BW12" s="194" t="s">
        <v>701</v>
      </c>
      <c r="BX12" s="194" t="s">
        <v>701</v>
      </c>
      <c r="BY12" s="194" t="s">
        <v>701</v>
      </c>
      <c r="BZ12" s="194" t="s">
        <v>701</v>
      </c>
      <c r="CA12" s="194" t="s">
        <v>701</v>
      </c>
      <c r="CB12" s="194" t="s">
        <v>701</v>
      </c>
      <c r="CC12" s="194" t="s">
        <v>701</v>
      </c>
      <c r="CD12" s="194" t="s">
        <v>701</v>
      </c>
      <c r="CE12" s="194" t="s">
        <v>701</v>
      </c>
      <c r="CF12" s="194" t="s">
        <v>701</v>
      </c>
      <c r="CG12" s="194" t="s">
        <v>701</v>
      </c>
      <c r="CH12" s="194" t="s">
        <v>701</v>
      </c>
      <c r="CI12" s="194" t="s">
        <v>701</v>
      </c>
      <c r="CJ12" s="194" t="s">
        <v>701</v>
      </c>
      <c r="CK12" s="194" t="s">
        <v>701</v>
      </c>
      <c r="CL12" s="194" t="s">
        <v>701</v>
      </c>
      <c r="CM12" s="194" t="s">
        <v>701</v>
      </c>
      <c r="CN12" s="194" t="s">
        <v>701</v>
      </c>
      <c r="CO12" s="194" t="s">
        <v>701</v>
      </c>
      <c r="CP12" s="194" t="s">
        <v>701</v>
      </c>
      <c r="CQ12" s="194" t="s">
        <v>701</v>
      </c>
      <c r="CR12" s="194" t="s">
        <v>701</v>
      </c>
      <c r="CS12" s="194" t="s">
        <v>701</v>
      </c>
      <c r="CT12" s="194" t="s">
        <v>701</v>
      </c>
      <c r="CU12" s="194" t="s">
        <v>701</v>
      </c>
      <c r="CV12" s="194" t="s">
        <v>701</v>
      </c>
      <c r="CW12" s="194" t="s">
        <v>701</v>
      </c>
      <c r="CX12" s="194" t="s">
        <v>701</v>
      </c>
      <c r="CY12" s="194" t="s">
        <v>701</v>
      </c>
      <c r="CZ12" s="194" t="s">
        <v>701</v>
      </c>
      <c r="DA12" s="194" t="s">
        <v>701</v>
      </c>
      <c r="DB12" s="194" t="s">
        <v>701</v>
      </c>
      <c r="DC12" s="194" t="s">
        <v>701</v>
      </c>
      <c r="DD12" s="194" t="s">
        <v>701</v>
      </c>
      <c r="DE12" s="194" t="s">
        <v>701</v>
      </c>
      <c r="DF12" s="194" t="s">
        <v>701</v>
      </c>
      <c r="DG12" s="194" t="s">
        <v>701</v>
      </c>
      <c r="DH12" s="194" t="s">
        <v>701</v>
      </c>
      <c r="DI12" s="194" t="s">
        <v>701</v>
      </c>
      <c r="DJ12" s="194" t="s">
        <v>701</v>
      </c>
      <c r="DK12" s="194" t="s">
        <v>701</v>
      </c>
      <c r="DL12" s="194" t="s">
        <v>701</v>
      </c>
      <c r="DM12" s="194" t="s">
        <v>701</v>
      </c>
      <c r="DN12" s="194" t="s">
        <v>701</v>
      </c>
      <c r="DO12" s="194" t="s">
        <v>701</v>
      </c>
      <c r="DP12" s="194" t="s">
        <v>701</v>
      </c>
      <c r="DQ12" s="194" t="s">
        <v>701</v>
      </c>
      <c r="DR12" s="194" t="s">
        <v>701</v>
      </c>
      <c r="DS12" s="194" t="s">
        <v>701</v>
      </c>
      <c r="DT12" s="194" t="s">
        <v>701</v>
      </c>
      <c r="DU12" s="194" t="s">
        <v>701</v>
      </c>
      <c r="DV12" s="194" t="s">
        <v>701</v>
      </c>
      <c r="DW12" s="194" t="s">
        <v>701</v>
      </c>
      <c r="DX12" s="194" t="s">
        <v>701</v>
      </c>
      <c r="DY12" s="194" t="s">
        <v>701</v>
      </c>
      <c r="DZ12" s="194" t="s">
        <v>701</v>
      </c>
      <c r="EA12" s="194" t="s">
        <v>701</v>
      </c>
      <c r="EB12" s="194" t="s">
        <v>701</v>
      </c>
      <c r="EC12" s="194" t="s">
        <v>701</v>
      </c>
      <c r="ED12" s="194" t="s">
        <v>701</v>
      </c>
      <c r="EE12" s="194" t="s">
        <v>701</v>
      </c>
      <c r="EF12" s="194" t="s">
        <v>701</v>
      </c>
      <c r="EG12" s="194" t="s">
        <v>701</v>
      </c>
      <c r="EH12" s="194" t="s">
        <v>701</v>
      </c>
      <c r="EI12" s="194" t="s">
        <v>701</v>
      </c>
      <c r="EJ12" s="194" t="s">
        <v>701</v>
      </c>
      <c r="EK12" s="194" t="s">
        <v>701</v>
      </c>
      <c r="EL12" s="194" t="s">
        <v>701</v>
      </c>
      <c r="EM12" s="194" t="s">
        <v>701</v>
      </c>
      <c r="EN12" s="194" t="s">
        <v>701</v>
      </c>
      <c r="EO12" s="194" t="s">
        <v>701</v>
      </c>
      <c r="EP12" s="194" t="s">
        <v>701</v>
      </c>
      <c r="EQ12" s="194" t="s">
        <v>701</v>
      </c>
      <c r="ER12" s="194" t="s">
        <v>701</v>
      </c>
      <c r="ES12" s="194" t="s">
        <v>701</v>
      </c>
      <c r="ET12" s="194" t="s">
        <v>701</v>
      </c>
      <c r="EU12" s="194" t="s">
        <v>701</v>
      </c>
      <c r="EV12" s="194" t="s">
        <v>701</v>
      </c>
      <c r="EW12" s="194" t="s">
        <v>701</v>
      </c>
      <c r="EX12" s="194" t="s">
        <v>701</v>
      </c>
      <c r="EY12" s="194" t="s">
        <v>701</v>
      </c>
      <c r="EZ12" s="194" t="s">
        <v>701</v>
      </c>
      <c r="FA12" s="194" t="s">
        <v>701</v>
      </c>
      <c r="FB12" s="194" t="s">
        <v>701</v>
      </c>
      <c r="FC12" s="194" t="s">
        <v>701</v>
      </c>
      <c r="FD12" s="194" t="s">
        <v>701</v>
      </c>
      <c r="FE12" s="194" t="s">
        <v>701</v>
      </c>
      <c r="FF12" s="194" t="s">
        <v>701</v>
      </c>
      <c r="FG12" s="194" t="s">
        <v>701</v>
      </c>
      <c r="FH12" s="194" t="s">
        <v>701</v>
      </c>
      <c r="FI12" s="194" t="s">
        <v>701</v>
      </c>
      <c r="FJ12" s="194" t="s">
        <v>701</v>
      </c>
      <c r="FK12" s="194" t="s">
        <v>701</v>
      </c>
      <c r="FL12" s="194" t="s">
        <v>701</v>
      </c>
      <c r="FM12" s="194" t="s">
        <v>701</v>
      </c>
      <c r="FN12" s="194" t="s">
        <v>701</v>
      </c>
      <c r="FO12" s="194" t="s">
        <v>701</v>
      </c>
      <c r="FP12" s="194" t="s">
        <v>701</v>
      </c>
      <c r="FQ12" s="194" t="s">
        <v>701</v>
      </c>
      <c r="FR12" s="194" t="s">
        <v>701</v>
      </c>
      <c r="FS12" s="194" t="s">
        <v>701</v>
      </c>
      <c r="FT12" s="194" t="s">
        <v>701</v>
      </c>
      <c r="FU12" s="194" t="s">
        <v>701</v>
      </c>
      <c r="FV12" s="194" t="s">
        <v>701</v>
      </c>
      <c r="FW12" s="194" t="s">
        <v>701</v>
      </c>
      <c r="FX12" s="194" t="s">
        <v>701</v>
      </c>
      <c r="FY12" s="26" t="s">
        <v>511</v>
      </c>
    </row>
    <row r="13" spans="1:181" ht="16.149999999999999" customHeight="1" thickBot="1" x14ac:dyDescent="0.3">
      <c r="A13" s="186">
        <f>Minták!B6</f>
        <v>2</v>
      </c>
      <c r="B13" s="187"/>
      <c r="C13" s="22" t="str">
        <f>Minták!I6</f>
        <v>na</v>
      </c>
      <c r="D13" s="22">
        <f>Minták!J6</f>
        <v>20511827</v>
      </c>
      <c r="E13" s="188" t="s">
        <v>699</v>
      </c>
      <c r="F13" s="22" t="str">
        <f>Minták!L6</f>
        <v>U</v>
      </c>
      <c r="G13" s="189">
        <f>MV!L8</f>
        <v>45293</v>
      </c>
      <c r="H13" s="190">
        <f t="shared" si="0"/>
        <v>2024</v>
      </c>
      <c r="I13" s="190">
        <f t="shared" si="1"/>
        <v>1</v>
      </c>
      <c r="J13" s="1" t="str">
        <f>Minták!O6</f>
        <v>Aqua Szolgáltató Kft. Vizsgáló-laboratórium</v>
      </c>
      <c r="K13" s="25">
        <f>Minták!M6</f>
        <v>21889495</v>
      </c>
      <c r="L13" s="188" t="s">
        <v>699</v>
      </c>
      <c r="M13" s="24" t="str">
        <f>Minták!N6</f>
        <v>NAH-1-1650/2019</v>
      </c>
      <c r="N13" s="385">
        <f>Minták!E6</f>
        <v>45293</v>
      </c>
      <c r="O13" s="385">
        <f t="shared" si="2"/>
        <v>45293</v>
      </c>
      <c r="P13" s="385">
        <f>Minták!AU6</f>
        <v>45324</v>
      </c>
      <c r="Q13" s="22" t="str">
        <f>Minták!P6</f>
        <v>EGY</v>
      </c>
      <c r="R13" s="191" t="str">
        <f>Minták!Q6</f>
        <v>ADATOT BEÍRNI</v>
      </c>
      <c r="S13" s="188" t="s">
        <v>699</v>
      </c>
      <c r="T13" s="26" t="str">
        <f>Minták!G6</f>
        <v>ADATOT BEÍRNI</v>
      </c>
      <c r="U13" s="192"/>
      <c r="V13" s="192"/>
      <c r="W13" s="193" t="str">
        <f>Minták!F6</f>
        <v>ADATOT BEÍRNI</v>
      </c>
      <c r="X13" s="25" t="str">
        <f>Minták!R6</f>
        <v>na</v>
      </c>
      <c r="Y13" s="188" t="s">
        <v>699</v>
      </c>
      <c r="Z13" s="1" t="str">
        <f>Minták!S6</f>
        <v>nem</v>
      </c>
      <c r="AA13" s="25" t="str">
        <f>Minták!T6</f>
        <v>Megrendelő</v>
      </c>
      <c r="AB13" s="24" t="str">
        <f>Minták!U6</f>
        <v>na</v>
      </c>
      <c r="AC13" s="188" t="s">
        <v>699</v>
      </c>
      <c r="AD13" s="26" t="s">
        <v>44</v>
      </c>
      <c r="AE13" s="157" t="str">
        <f>Minták!X6</f>
        <v>B1</v>
      </c>
      <c r="AF13" s="26"/>
      <c r="AG13" s="26"/>
      <c r="AH13" s="26"/>
      <c r="AI13" s="194" t="s">
        <v>701</v>
      </c>
      <c r="AJ13" s="194" t="s">
        <v>701</v>
      </c>
      <c r="AK13" s="194" t="s">
        <v>701</v>
      </c>
      <c r="AL13" s="194" t="s">
        <v>701</v>
      </c>
      <c r="AM13" s="194" t="s">
        <v>701</v>
      </c>
      <c r="AN13" s="194" t="s">
        <v>701</v>
      </c>
      <c r="AO13" s="194" t="s">
        <v>701</v>
      </c>
      <c r="AP13" s="194" t="s">
        <v>701</v>
      </c>
      <c r="AQ13" s="194" t="s">
        <v>701</v>
      </c>
      <c r="AR13" s="194" t="s">
        <v>701</v>
      </c>
      <c r="AS13" s="194" t="s">
        <v>701</v>
      </c>
      <c r="AT13" s="194" t="s">
        <v>701</v>
      </c>
      <c r="AU13" s="194" t="s">
        <v>701</v>
      </c>
      <c r="AV13" s="194" t="s">
        <v>701</v>
      </c>
      <c r="AW13" s="194" t="s">
        <v>701</v>
      </c>
      <c r="AX13" s="194" t="s">
        <v>701</v>
      </c>
      <c r="AY13" s="194" t="s">
        <v>701</v>
      </c>
      <c r="AZ13" s="194" t="s">
        <v>701</v>
      </c>
      <c r="BA13" s="195" t="s">
        <v>701</v>
      </c>
      <c r="BB13" s="200" t="str">
        <f>IFERROR(IF(LEFT(Minták!BM6,1)="&lt;",Minták!BM6,VALUE(Minták!BM6)),"ures")</f>
        <v>&lt;0,04</v>
      </c>
      <c r="BC13" s="201" t="str">
        <f>IFERROR(IF(LEFT(Minták!BN6,1)="&lt;",Minták!BN6,VALUE(Minták!BN6)),"ures")</f>
        <v>&lt;1,00</v>
      </c>
      <c r="BD13" s="201" t="str">
        <f>IFERROR(IF(LEFT(Minták!BO6,1)="&lt;",Minták!BO6,VALUE(Minták!BO6)),"ures")</f>
        <v>&lt;0,02</v>
      </c>
      <c r="BE13" s="201" t="str">
        <f>IFERROR(IF(LEFT(Minták!BP6,1)="&lt;",Minták!BP6,VALUE(Minták!BP6)),"ures")</f>
        <v>&lt;0,03</v>
      </c>
      <c r="BF13" s="201" t="str">
        <f>IFERROR(IF(LEFT(Minták!BQ6,1)="&lt;",Minták!BQ6,VALUE(Minták!BQ6)),"ures")</f>
        <v>&lt;0,03</v>
      </c>
      <c r="BG13" s="201">
        <f>IFERROR(IF(LEFT(Minták!BR6,1)="&lt;",Minták!BR6,VALUE(Minták!BR6)),"ures")</f>
        <v>11</v>
      </c>
      <c r="BH13" s="201" t="str">
        <f>IFERROR(IF(LEFT(Minták!BS6,1)="&lt;",Minták!BS6,VALUE(Minták!BS6)),"ures")</f>
        <v>&lt;0,30</v>
      </c>
      <c r="BI13" s="201">
        <f>IFERROR(IF(LEFT(Minták!BT6,1)="&lt;",Minták!BT6,VALUE(Minták!BT6)),"ures")</f>
        <v>122</v>
      </c>
      <c r="BJ13" s="201">
        <f>IFERROR(IF(LEFT(Minták!BU6,1)="&lt;",Minták!BU6,VALUE(Minták!BU6)),"ures")</f>
        <v>43.6</v>
      </c>
      <c r="BK13" s="201">
        <f>IFERROR(IF(LEFT(Minták!BV6,1)="&lt;",Minták!BV6,VALUE(Minták!BV6)),"ures")</f>
        <v>26.4</v>
      </c>
      <c r="BL13" s="201">
        <f>IFERROR(IF(LEFT(Minták!BW6,1)="&lt;",Minták!BW6,VALUE(Minták!BW6)),"ures")</f>
        <v>3.1</v>
      </c>
      <c r="BM13" s="201">
        <f>IFERROR(IF(LEFT(Minták!BX6,1)="&lt;",Minták!BX6,VALUE(Minták!BX6)),"ures")</f>
        <v>7.04</v>
      </c>
      <c r="BN13" s="201">
        <f>IFERROR(IF(LEFT(Minták!BY6,1)="&lt;",Minták!BY6,VALUE(Minták!BY6)),"ures")</f>
        <v>405</v>
      </c>
      <c r="BO13" s="201">
        <f>IFERROR(IF(LEFT(Minták!BZ6,1)="&lt;",Minták!BZ6,VALUE(Minták!BZ6)),"ures")</f>
        <v>10.1</v>
      </c>
      <c r="BP13" s="201">
        <f>IFERROR(IF(LEFT(Minták!CA6,1)="&lt;",Minták!CA6,VALUE(Minták!CA6)),"ures")</f>
        <v>16</v>
      </c>
      <c r="BQ13" s="201">
        <f>IFERROR(IF(LEFT(Minták!CB6,1)="&lt;",Minták!CB6,VALUE(Minták!CB6)),"ures")</f>
        <v>0.12</v>
      </c>
      <c r="BR13" s="197" t="str">
        <f>IFERROR(Minták!CC6,"ures")</f>
        <v>szintelen</v>
      </c>
      <c r="BS13" s="197" t="str">
        <f>IFERROR(Minták!CD6,"ures")</f>
        <v>szagtalan</v>
      </c>
      <c r="BT13" s="197" t="str">
        <f>IFERROR(Minták!CE6,"ures")</f>
        <v>iztelen</v>
      </c>
      <c r="BU13" s="202">
        <f>IFERROR(IF(LEFT(Minták!CF6,1)="&lt;",Minták!CF6,VALUE(Minták!CF6)),"ures")</f>
        <v>189</v>
      </c>
      <c r="BV13" s="199" t="s">
        <v>701</v>
      </c>
      <c r="BW13" s="194" t="s">
        <v>701</v>
      </c>
      <c r="BX13" s="194" t="s">
        <v>701</v>
      </c>
      <c r="BY13" s="194" t="s">
        <v>701</v>
      </c>
      <c r="BZ13" s="194" t="s">
        <v>701</v>
      </c>
      <c r="CA13" s="194" t="s">
        <v>701</v>
      </c>
      <c r="CB13" s="194" t="s">
        <v>701</v>
      </c>
      <c r="CC13" s="194" t="s">
        <v>701</v>
      </c>
      <c r="CD13" s="194" t="s">
        <v>701</v>
      </c>
      <c r="CE13" s="194" t="s">
        <v>701</v>
      </c>
      <c r="CF13" s="194" t="s">
        <v>701</v>
      </c>
      <c r="CG13" s="194" t="s">
        <v>701</v>
      </c>
      <c r="CH13" s="194" t="s">
        <v>701</v>
      </c>
      <c r="CI13" s="194" t="s">
        <v>701</v>
      </c>
      <c r="CJ13" s="194" t="s">
        <v>701</v>
      </c>
      <c r="CK13" s="194" t="s">
        <v>701</v>
      </c>
      <c r="CL13" s="194" t="s">
        <v>701</v>
      </c>
      <c r="CM13" s="194" t="s">
        <v>701</v>
      </c>
      <c r="CN13" s="194" t="s">
        <v>701</v>
      </c>
      <c r="CO13" s="194" t="s">
        <v>701</v>
      </c>
      <c r="CP13" s="194" t="s">
        <v>701</v>
      </c>
      <c r="CQ13" s="194" t="s">
        <v>701</v>
      </c>
      <c r="CR13" s="194" t="s">
        <v>701</v>
      </c>
      <c r="CS13" s="194" t="s">
        <v>701</v>
      </c>
      <c r="CT13" s="194" t="s">
        <v>701</v>
      </c>
      <c r="CU13" s="194" t="s">
        <v>701</v>
      </c>
      <c r="CV13" s="194" t="s">
        <v>701</v>
      </c>
      <c r="CW13" s="194" t="s">
        <v>701</v>
      </c>
      <c r="CX13" s="194" t="s">
        <v>701</v>
      </c>
      <c r="CY13" s="194" t="s">
        <v>701</v>
      </c>
      <c r="CZ13" s="194" t="s">
        <v>701</v>
      </c>
      <c r="DA13" s="194" t="s">
        <v>701</v>
      </c>
      <c r="DB13" s="194" t="s">
        <v>701</v>
      </c>
      <c r="DC13" s="194" t="s">
        <v>701</v>
      </c>
      <c r="DD13" s="194" t="s">
        <v>701</v>
      </c>
      <c r="DE13" s="194" t="s">
        <v>701</v>
      </c>
      <c r="DF13" s="194" t="s">
        <v>701</v>
      </c>
      <c r="DG13" s="194" t="s">
        <v>701</v>
      </c>
      <c r="DH13" s="194" t="s">
        <v>701</v>
      </c>
      <c r="DI13" s="194" t="s">
        <v>701</v>
      </c>
      <c r="DJ13" s="194" t="s">
        <v>701</v>
      </c>
      <c r="DK13" s="194" t="s">
        <v>701</v>
      </c>
      <c r="DL13" s="194" t="s">
        <v>701</v>
      </c>
      <c r="DM13" s="194" t="s">
        <v>701</v>
      </c>
      <c r="DN13" s="194" t="s">
        <v>701</v>
      </c>
      <c r="DO13" s="194" t="s">
        <v>701</v>
      </c>
      <c r="DP13" s="194" t="s">
        <v>701</v>
      </c>
      <c r="DQ13" s="194" t="s">
        <v>701</v>
      </c>
      <c r="DR13" s="194" t="s">
        <v>701</v>
      </c>
      <c r="DS13" s="194" t="s">
        <v>701</v>
      </c>
      <c r="DT13" s="194" t="s">
        <v>701</v>
      </c>
      <c r="DU13" s="194" t="s">
        <v>701</v>
      </c>
      <c r="DV13" s="194" t="s">
        <v>701</v>
      </c>
      <c r="DW13" s="194" t="s">
        <v>701</v>
      </c>
      <c r="DX13" s="194" t="s">
        <v>701</v>
      </c>
      <c r="DY13" s="194" t="s">
        <v>701</v>
      </c>
      <c r="DZ13" s="194" t="s">
        <v>701</v>
      </c>
      <c r="EA13" s="194" t="s">
        <v>701</v>
      </c>
      <c r="EB13" s="194" t="s">
        <v>701</v>
      </c>
      <c r="EC13" s="194" t="s">
        <v>701</v>
      </c>
      <c r="ED13" s="194" t="s">
        <v>701</v>
      </c>
      <c r="EE13" s="194" t="s">
        <v>701</v>
      </c>
      <c r="EF13" s="194" t="s">
        <v>701</v>
      </c>
      <c r="EG13" s="194" t="s">
        <v>701</v>
      </c>
      <c r="EH13" s="194" t="s">
        <v>701</v>
      </c>
      <c r="EI13" s="194" t="s">
        <v>701</v>
      </c>
      <c r="EJ13" s="194" t="s">
        <v>701</v>
      </c>
      <c r="EK13" s="194" t="s">
        <v>701</v>
      </c>
      <c r="EL13" s="194" t="s">
        <v>701</v>
      </c>
      <c r="EM13" s="194" t="s">
        <v>701</v>
      </c>
      <c r="EN13" s="194" t="s">
        <v>701</v>
      </c>
      <c r="EO13" s="194" t="s">
        <v>701</v>
      </c>
      <c r="EP13" s="194" t="s">
        <v>701</v>
      </c>
      <c r="EQ13" s="194" t="s">
        <v>701</v>
      </c>
      <c r="ER13" s="194" t="s">
        <v>701</v>
      </c>
      <c r="ES13" s="194" t="s">
        <v>701</v>
      </c>
      <c r="ET13" s="194" t="s">
        <v>701</v>
      </c>
      <c r="EU13" s="194" t="s">
        <v>701</v>
      </c>
      <c r="EV13" s="194" t="s">
        <v>701</v>
      </c>
      <c r="EW13" s="194" t="s">
        <v>701</v>
      </c>
      <c r="EX13" s="194" t="s">
        <v>701</v>
      </c>
      <c r="EY13" s="194" t="s">
        <v>701</v>
      </c>
      <c r="EZ13" s="194" t="s">
        <v>701</v>
      </c>
      <c r="FA13" s="194" t="s">
        <v>701</v>
      </c>
      <c r="FB13" s="194" t="s">
        <v>701</v>
      </c>
      <c r="FC13" s="194" t="s">
        <v>701</v>
      </c>
      <c r="FD13" s="194" t="s">
        <v>701</v>
      </c>
      <c r="FE13" s="194" t="s">
        <v>701</v>
      </c>
      <c r="FF13" s="194" t="s">
        <v>701</v>
      </c>
      <c r="FG13" s="194" t="s">
        <v>701</v>
      </c>
      <c r="FH13" s="194" t="s">
        <v>701</v>
      </c>
      <c r="FI13" s="194" t="s">
        <v>701</v>
      </c>
      <c r="FJ13" s="194" t="s">
        <v>701</v>
      </c>
      <c r="FK13" s="194" t="s">
        <v>701</v>
      </c>
      <c r="FL13" s="194" t="s">
        <v>701</v>
      </c>
      <c r="FM13" s="194" t="s">
        <v>701</v>
      </c>
      <c r="FN13" s="194" t="s">
        <v>701</v>
      </c>
      <c r="FO13" s="194" t="s">
        <v>701</v>
      </c>
      <c r="FP13" s="194" t="s">
        <v>701</v>
      </c>
      <c r="FQ13" s="194" t="s">
        <v>701</v>
      </c>
      <c r="FR13" s="194" t="s">
        <v>701</v>
      </c>
      <c r="FS13" s="194" t="s">
        <v>701</v>
      </c>
      <c r="FT13" s="194" t="s">
        <v>701</v>
      </c>
      <c r="FU13" s="194" t="s">
        <v>701</v>
      </c>
      <c r="FV13" s="194" t="s">
        <v>701</v>
      </c>
      <c r="FW13" s="194" t="s">
        <v>701</v>
      </c>
      <c r="FX13" s="194" t="s">
        <v>701</v>
      </c>
      <c r="FY13" s="26" t="s">
        <v>511</v>
      </c>
    </row>
    <row r="14" spans="1:181" ht="16.149999999999999" customHeight="1" thickBot="1" x14ac:dyDescent="0.3">
      <c r="A14" s="186">
        <f>Minták!B7</f>
        <v>3</v>
      </c>
      <c r="B14" s="187"/>
      <c r="C14" s="22" t="str">
        <f>Minták!I7</f>
        <v>na</v>
      </c>
      <c r="D14" s="22" t="str">
        <f>Minták!J7</f>
        <v>na</v>
      </c>
      <c r="E14" s="188" t="s">
        <v>699</v>
      </c>
      <c r="F14" s="22" t="str">
        <f>Minták!L7</f>
        <v>na</v>
      </c>
      <c r="G14" s="189">
        <f>MV!L9</f>
        <v>45294</v>
      </c>
      <c r="H14" s="190">
        <f t="shared" si="0"/>
        <v>2024</v>
      </c>
      <c r="I14" s="190">
        <f t="shared" si="1"/>
        <v>1</v>
      </c>
      <c r="J14" s="1" t="str">
        <f>Minták!O7</f>
        <v>Eurofins Analytical Services Hungary Kft. Környezetanalitikai Laboratórium</v>
      </c>
      <c r="K14" s="25">
        <f>Minták!M7</f>
        <v>20479120</v>
      </c>
      <c r="L14" s="188" t="s">
        <v>699</v>
      </c>
      <c r="M14" s="24" t="str">
        <f>Minták!N7</f>
        <v>NAH-1-1398/2024</v>
      </c>
      <c r="N14" s="385">
        <f>Minták!E7</f>
        <v>45294</v>
      </c>
      <c r="O14" s="385">
        <f t="shared" si="2"/>
        <v>45294</v>
      </c>
      <c r="P14" s="385">
        <f>Minták!AU7</f>
        <v>45324</v>
      </c>
      <c r="Q14" s="22" t="str">
        <f>Minták!P7</f>
        <v>na</v>
      </c>
      <c r="R14" s="191" t="str">
        <f>Minták!Q7</f>
        <v>külsős minta</v>
      </c>
      <c r="S14" s="188" t="s">
        <v>699</v>
      </c>
      <c r="T14" s="26" t="str">
        <f>Minták!G7</f>
        <v>KÜLSŐS</v>
      </c>
      <c r="U14" s="192"/>
      <c r="V14" s="192"/>
      <c r="W14" s="193" t="str">
        <f>Minták!F7</f>
        <v>ADATOT BEÍRNI</v>
      </c>
      <c r="X14" s="25" t="str">
        <f>Minták!R7</f>
        <v>na</v>
      </c>
      <c r="Y14" s="188" t="s">
        <v>699</v>
      </c>
      <c r="Z14" s="1" t="str">
        <f>Minták!S7</f>
        <v>na</v>
      </c>
      <c r="AA14" s="25" t="str">
        <f>Minták!T7</f>
        <v>na</v>
      </c>
      <c r="AB14" s="24" t="str">
        <f>Minták!U7</f>
        <v>na</v>
      </c>
      <c r="AC14" s="188" t="s">
        <v>699</v>
      </c>
      <c r="AD14" s="26" t="s">
        <v>44</v>
      </c>
      <c r="AE14" s="157" t="str">
        <f>Minták!X7</f>
        <v>A+B1_saját</v>
      </c>
      <c r="AF14" s="26"/>
      <c r="AG14" s="26"/>
      <c r="AH14" s="26"/>
      <c r="AI14" s="194" t="s">
        <v>701</v>
      </c>
      <c r="AJ14" s="194" t="s">
        <v>701</v>
      </c>
      <c r="AK14" s="194" t="s">
        <v>701</v>
      </c>
      <c r="AL14" s="194" t="s">
        <v>701</v>
      </c>
      <c r="AM14" s="194" t="s">
        <v>701</v>
      </c>
      <c r="AN14" s="194" t="s">
        <v>701</v>
      </c>
      <c r="AO14" s="194" t="s">
        <v>701</v>
      </c>
      <c r="AP14" s="194" t="s">
        <v>701</v>
      </c>
      <c r="AQ14" s="194" t="s">
        <v>701</v>
      </c>
      <c r="AR14" s="194" t="s">
        <v>701</v>
      </c>
      <c r="AS14" s="194" t="s">
        <v>701</v>
      </c>
      <c r="AT14" s="194" t="s">
        <v>701</v>
      </c>
      <c r="AU14" s="194" t="s">
        <v>701</v>
      </c>
      <c r="AV14" s="194" t="s">
        <v>701</v>
      </c>
      <c r="AW14" s="194" t="s">
        <v>701</v>
      </c>
      <c r="AX14" s="194" t="s">
        <v>701</v>
      </c>
      <c r="AY14" s="194" t="s">
        <v>701</v>
      </c>
      <c r="AZ14" s="194" t="s">
        <v>701</v>
      </c>
      <c r="BA14" s="195" t="s">
        <v>701</v>
      </c>
      <c r="BB14" s="200" t="str">
        <f>IFERROR(IF(LEFT(Minták!BM7,1)="&lt;",Minták!BM7,VALUE(Minták!BM7)),"ures")</f>
        <v>&lt;0,04</v>
      </c>
      <c r="BC14" s="201" t="str">
        <f>IFERROR(IF(LEFT(Minták!BN7,1)="&lt;",Minták!BN7,VALUE(Minták!BN7)),"ures")</f>
        <v>&lt;1,00</v>
      </c>
      <c r="BD14" s="201">
        <f>IFERROR(IF(LEFT(Minták!BO7,1)="&lt;",Minták!BO7,VALUE(Minták!BO7)),"ures")</f>
        <v>0.03</v>
      </c>
      <c r="BE14" s="201">
        <f>IFERROR(IF(LEFT(Minták!BP7,1)="&lt;",Minták!BP7,VALUE(Minták!BP7)),"ures")</f>
        <v>0.04</v>
      </c>
      <c r="BF14" s="201">
        <f>IFERROR(IF(LEFT(Minták!BQ7,1)="&lt;",Minták!BQ7,VALUE(Minták!BQ7)),"ures")</f>
        <v>0.04</v>
      </c>
      <c r="BG14" s="201">
        <f>IFERROR(IF(LEFT(Minták!BR7,1)="&lt;",Minták!BR7,VALUE(Minták!BR7)),"ures")</f>
        <v>12</v>
      </c>
      <c r="BH14" s="201">
        <f>IFERROR(IF(LEFT(Minták!BS7,1)="&lt;",Minták!BS7,VALUE(Minták!BS7)),"ures")</f>
        <v>0.3</v>
      </c>
      <c r="BI14" s="201">
        <f>IFERROR(IF(LEFT(Minták!BT7,1)="&lt;",Minták!BT7,VALUE(Minták!BT7)),"ures")</f>
        <v>124</v>
      </c>
      <c r="BJ14" s="201">
        <f>IFERROR(IF(LEFT(Minták!BU7,1)="&lt;",Minták!BU7,VALUE(Minták!BU7)),"ures")</f>
        <v>44.3</v>
      </c>
      <c r="BK14" s="201">
        <f>IFERROR(IF(LEFT(Minták!BV7,1)="&lt;",Minták!BV7,VALUE(Minták!BV7)),"ures")</f>
        <v>26.9</v>
      </c>
      <c r="BL14" s="201">
        <f>IFERROR(IF(LEFT(Minták!BW7,1)="&lt;",Minták!BW7,VALUE(Minták!BW7)),"ures")</f>
        <v>3.2</v>
      </c>
      <c r="BM14" s="201">
        <f>IFERROR(IF(LEFT(Minták!BX7,1)="&lt;",Minták!BX7,VALUE(Minták!BX7)),"ures")</f>
        <v>7.06</v>
      </c>
      <c r="BN14" s="201">
        <f>IFERROR(IF(LEFT(Minták!BY7,1)="&lt;",Minták!BY7,VALUE(Minták!BY7)),"ures")</f>
        <v>410</v>
      </c>
      <c r="BO14" s="201">
        <f>IFERROR(IF(LEFT(Minták!BZ7,1)="&lt;",Minták!BZ7,VALUE(Minták!BZ7)),"ures")</f>
        <v>10.199999999999999</v>
      </c>
      <c r="BP14" s="201">
        <f>IFERROR(IF(LEFT(Minták!CA7,1)="&lt;",Minták!CA7,VALUE(Minták!CA7)),"ures")</f>
        <v>25</v>
      </c>
      <c r="BQ14" s="201">
        <f>IFERROR(IF(LEFT(Minták!CB7,1)="&lt;",Minták!CB7,VALUE(Minták!CB7)),"ures")</f>
        <v>0.14000000000000001</v>
      </c>
      <c r="BR14" s="197" t="str">
        <f>IFERROR(Minták!CC7,"ures")</f>
        <v>szintelen</v>
      </c>
      <c r="BS14" s="197" t="str">
        <f>IFERROR(Minták!CD7,"ures")</f>
        <v>szagtalan</v>
      </c>
      <c r="BT14" s="197" t="str">
        <f>IFERROR(Minták!CE7,"ures")</f>
        <v>iztelen</v>
      </c>
      <c r="BU14" s="202">
        <f>IFERROR(IF(LEFT(Minták!CF7,1)="&lt;",Minták!CF7,VALUE(Minták!CF7)),"ures")</f>
        <v>195</v>
      </c>
      <c r="BV14" s="199" t="s">
        <v>701</v>
      </c>
      <c r="BW14" s="194" t="s">
        <v>701</v>
      </c>
      <c r="BX14" s="194" t="s">
        <v>701</v>
      </c>
      <c r="BY14" s="194" t="s">
        <v>701</v>
      </c>
      <c r="BZ14" s="194" t="s">
        <v>701</v>
      </c>
      <c r="CA14" s="194" t="s">
        <v>701</v>
      </c>
      <c r="CB14" s="194" t="s">
        <v>701</v>
      </c>
      <c r="CC14" s="194" t="s">
        <v>701</v>
      </c>
      <c r="CD14" s="194" t="s">
        <v>701</v>
      </c>
      <c r="CE14" s="194" t="s">
        <v>701</v>
      </c>
      <c r="CF14" s="194" t="s">
        <v>701</v>
      </c>
      <c r="CG14" s="194" t="s">
        <v>701</v>
      </c>
      <c r="CH14" s="194" t="s">
        <v>701</v>
      </c>
      <c r="CI14" s="194" t="s">
        <v>701</v>
      </c>
      <c r="CJ14" s="194" t="s">
        <v>701</v>
      </c>
      <c r="CK14" s="194" t="s">
        <v>701</v>
      </c>
      <c r="CL14" s="194" t="s">
        <v>701</v>
      </c>
      <c r="CM14" s="194" t="s">
        <v>701</v>
      </c>
      <c r="CN14" s="194" t="s">
        <v>701</v>
      </c>
      <c r="CO14" s="194" t="s">
        <v>701</v>
      </c>
      <c r="CP14" s="194" t="s">
        <v>701</v>
      </c>
      <c r="CQ14" s="194" t="s">
        <v>701</v>
      </c>
      <c r="CR14" s="194" t="s">
        <v>701</v>
      </c>
      <c r="CS14" s="194" t="s">
        <v>701</v>
      </c>
      <c r="CT14" s="194" t="s">
        <v>701</v>
      </c>
      <c r="CU14" s="194" t="s">
        <v>701</v>
      </c>
      <c r="CV14" s="194" t="s">
        <v>701</v>
      </c>
      <c r="CW14" s="194" t="s">
        <v>701</v>
      </c>
      <c r="CX14" s="194" t="s">
        <v>701</v>
      </c>
      <c r="CY14" s="194" t="s">
        <v>701</v>
      </c>
      <c r="CZ14" s="194" t="s">
        <v>701</v>
      </c>
      <c r="DA14" s="194" t="s">
        <v>701</v>
      </c>
      <c r="DB14" s="194" t="s">
        <v>701</v>
      </c>
      <c r="DC14" s="194" t="s">
        <v>701</v>
      </c>
      <c r="DD14" s="194" t="s">
        <v>701</v>
      </c>
      <c r="DE14" s="194" t="s">
        <v>701</v>
      </c>
      <c r="DF14" s="194" t="s">
        <v>701</v>
      </c>
      <c r="DG14" s="194" t="s">
        <v>701</v>
      </c>
      <c r="DH14" s="194" t="s">
        <v>701</v>
      </c>
      <c r="DI14" s="194" t="s">
        <v>701</v>
      </c>
      <c r="DJ14" s="194" t="s">
        <v>701</v>
      </c>
      <c r="DK14" s="194" t="s">
        <v>701</v>
      </c>
      <c r="DL14" s="194" t="s">
        <v>701</v>
      </c>
      <c r="DM14" s="194" t="s">
        <v>701</v>
      </c>
      <c r="DN14" s="194" t="s">
        <v>701</v>
      </c>
      <c r="DO14" s="194" t="s">
        <v>701</v>
      </c>
      <c r="DP14" s="194" t="s">
        <v>701</v>
      </c>
      <c r="DQ14" s="194" t="s">
        <v>701</v>
      </c>
      <c r="DR14" s="194" t="s">
        <v>701</v>
      </c>
      <c r="DS14" s="194" t="s">
        <v>701</v>
      </c>
      <c r="DT14" s="194" t="s">
        <v>701</v>
      </c>
      <c r="DU14" s="194" t="s">
        <v>701</v>
      </c>
      <c r="DV14" s="194" t="s">
        <v>701</v>
      </c>
      <c r="DW14" s="194" t="s">
        <v>701</v>
      </c>
      <c r="DX14" s="194" t="s">
        <v>701</v>
      </c>
      <c r="DY14" s="194" t="s">
        <v>701</v>
      </c>
      <c r="DZ14" s="194" t="s">
        <v>701</v>
      </c>
      <c r="EA14" s="194" t="s">
        <v>701</v>
      </c>
      <c r="EB14" s="194" t="s">
        <v>701</v>
      </c>
      <c r="EC14" s="194" t="s">
        <v>701</v>
      </c>
      <c r="ED14" s="194" t="s">
        <v>701</v>
      </c>
      <c r="EE14" s="194" t="s">
        <v>701</v>
      </c>
      <c r="EF14" s="194" t="s">
        <v>701</v>
      </c>
      <c r="EG14" s="194" t="s">
        <v>701</v>
      </c>
      <c r="EH14" s="194" t="s">
        <v>701</v>
      </c>
      <c r="EI14" s="194" t="s">
        <v>701</v>
      </c>
      <c r="EJ14" s="194" t="s">
        <v>701</v>
      </c>
      <c r="EK14" s="194" t="s">
        <v>701</v>
      </c>
      <c r="EL14" s="194" t="s">
        <v>701</v>
      </c>
      <c r="EM14" s="194" t="s">
        <v>701</v>
      </c>
      <c r="EN14" s="194" t="s">
        <v>701</v>
      </c>
      <c r="EO14" s="194" t="s">
        <v>701</v>
      </c>
      <c r="EP14" s="194" t="s">
        <v>701</v>
      </c>
      <c r="EQ14" s="194" t="s">
        <v>701</v>
      </c>
      <c r="ER14" s="194" t="s">
        <v>701</v>
      </c>
      <c r="ES14" s="194" t="s">
        <v>701</v>
      </c>
      <c r="ET14" s="194" t="s">
        <v>701</v>
      </c>
      <c r="EU14" s="194" t="s">
        <v>701</v>
      </c>
      <c r="EV14" s="194" t="s">
        <v>701</v>
      </c>
      <c r="EW14" s="194" t="s">
        <v>701</v>
      </c>
      <c r="EX14" s="194" t="s">
        <v>701</v>
      </c>
      <c r="EY14" s="194" t="s">
        <v>701</v>
      </c>
      <c r="EZ14" s="194" t="s">
        <v>701</v>
      </c>
      <c r="FA14" s="194" t="s">
        <v>701</v>
      </c>
      <c r="FB14" s="194" t="s">
        <v>701</v>
      </c>
      <c r="FC14" s="194" t="s">
        <v>701</v>
      </c>
      <c r="FD14" s="194" t="s">
        <v>701</v>
      </c>
      <c r="FE14" s="194" t="s">
        <v>701</v>
      </c>
      <c r="FF14" s="194" t="s">
        <v>701</v>
      </c>
      <c r="FG14" s="194" t="s">
        <v>701</v>
      </c>
      <c r="FH14" s="194" t="s">
        <v>701</v>
      </c>
      <c r="FI14" s="194" t="s">
        <v>701</v>
      </c>
      <c r="FJ14" s="194" t="s">
        <v>701</v>
      </c>
      <c r="FK14" s="194" t="s">
        <v>701</v>
      </c>
      <c r="FL14" s="194" t="s">
        <v>701</v>
      </c>
      <c r="FM14" s="194" t="s">
        <v>701</v>
      </c>
      <c r="FN14" s="194" t="s">
        <v>701</v>
      </c>
      <c r="FO14" s="194" t="s">
        <v>701</v>
      </c>
      <c r="FP14" s="194" t="s">
        <v>701</v>
      </c>
      <c r="FQ14" s="194" t="s">
        <v>701</v>
      </c>
      <c r="FR14" s="194" t="s">
        <v>701</v>
      </c>
      <c r="FS14" s="194" t="s">
        <v>701</v>
      </c>
      <c r="FT14" s="194" t="s">
        <v>701</v>
      </c>
      <c r="FU14" s="194" t="s">
        <v>701</v>
      </c>
      <c r="FV14" s="194" t="s">
        <v>701</v>
      </c>
      <c r="FW14" s="194" t="s">
        <v>701</v>
      </c>
      <c r="FX14" s="194" t="s">
        <v>701</v>
      </c>
      <c r="FY14" s="26" t="s">
        <v>511</v>
      </c>
    </row>
    <row r="15" spans="1:181" ht="16.149999999999999" customHeight="1" thickBot="1" x14ac:dyDescent="0.3">
      <c r="A15" s="186">
        <f>Minták!B8</f>
        <v>4</v>
      </c>
      <c r="B15" s="187"/>
      <c r="C15" s="22" t="str">
        <f>Minták!I8</f>
        <v>KUT</v>
      </c>
      <c r="D15" s="22">
        <f>Minták!J8</f>
        <v>20511827</v>
      </c>
      <c r="E15" s="188" t="s">
        <v>699</v>
      </c>
      <c r="F15" s="22" t="str">
        <f>Minták!L8</f>
        <v>U</v>
      </c>
      <c r="G15" s="189">
        <f>MV!L10</f>
        <v>45295</v>
      </c>
      <c r="H15" s="190">
        <f t="shared" si="0"/>
        <v>2024</v>
      </c>
      <c r="I15" s="190">
        <f t="shared" si="1"/>
        <v>1</v>
      </c>
      <c r="J15" s="1" t="str">
        <f>Minták!O8</f>
        <v>Győr-Moson-Sopron Vármegyei Kormányhivatal Népegészségügyi Főosztály Laboratóriumi Osztály TEFONAZ Laboratórium</v>
      </c>
      <c r="K15" s="25">
        <f>Minták!M8</f>
        <v>21889737</v>
      </c>
      <c r="L15" s="188" t="s">
        <v>699</v>
      </c>
      <c r="M15" s="24" t="str">
        <f>Minták!N8</f>
        <v>NAH-1-1341/2019</v>
      </c>
      <c r="N15" s="385">
        <f>Minták!E8</f>
        <v>45295</v>
      </c>
      <c r="O15" s="385">
        <f t="shared" si="2"/>
        <v>45295</v>
      </c>
      <c r="P15" s="385">
        <f>Minták!AU8</f>
        <v>45324</v>
      </c>
      <c r="Q15" s="22" t="str">
        <f>Minták!P8</f>
        <v>TERV</v>
      </c>
      <c r="R15" s="191" t="str">
        <f>Minták!Q8</f>
        <v>-</v>
      </c>
      <c r="S15" s="188" t="s">
        <v>699</v>
      </c>
      <c r="T15" s="26" t="str">
        <f>Minták!G8</f>
        <v>lLWVCL</v>
      </c>
      <c r="U15" s="192"/>
      <c r="V15" s="192"/>
      <c r="W15" s="193" t="str">
        <f>Minták!F8</f>
        <v>9605 Lcwvcl Ebnxscqc</v>
      </c>
      <c r="X15" s="25">
        <f>Minták!R8</f>
        <v>1712220068</v>
      </c>
      <c r="Y15" s="188" t="s">
        <v>699</v>
      </c>
      <c r="Z15" s="1" t="str">
        <f>Minták!S8</f>
        <v>igen</v>
      </c>
      <c r="AA15" s="25">
        <f>Minták!T8</f>
        <v>21889495</v>
      </c>
      <c r="AB15" s="24" t="str">
        <f>Minták!U8</f>
        <v>NAH-1-1650/2019</v>
      </c>
      <c r="AC15" s="188" t="s">
        <v>699</v>
      </c>
      <c r="AD15" s="26" t="s">
        <v>44</v>
      </c>
      <c r="AE15" s="157" t="str">
        <f>Minták!X8</f>
        <v>B2</v>
      </c>
      <c r="AF15" s="26"/>
      <c r="AG15" s="26"/>
      <c r="AH15" s="26"/>
      <c r="AI15" s="194" t="s">
        <v>701</v>
      </c>
      <c r="AJ15" s="194" t="s">
        <v>701</v>
      </c>
      <c r="AK15" s="194" t="s">
        <v>701</v>
      </c>
      <c r="AL15" s="194" t="s">
        <v>701</v>
      </c>
      <c r="AM15" s="194" t="s">
        <v>701</v>
      </c>
      <c r="AN15" s="194" t="s">
        <v>701</v>
      </c>
      <c r="AO15" s="194" t="s">
        <v>701</v>
      </c>
      <c r="AP15" s="194" t="s">
        <v>701</v>
      </c>
      <c r="AQ15" s="194" t="s">
        <v>701</v>
      </c>
      <c r="AR15" s="194" t="s">
        <v>701</v>
      </c>
      <c r="AS15" s="194" t="s">
        <v>701</v>
      </c>
      <c r="AT15" s="194" t="s">
        <v>701</v>
      </c>
      <c r="AU15" s="194" t="s">
        <v>701</v>
      </c>
      <c r="AV15" s="194" t="s">
        <v>701</v>
      </c>
      <c r="AW15" s="194" t="s">
        <v>701</v>
      </c>
      <c r="AX15" s="194" t="s">
        <v>701</v>
      </c>
      <c r="AY15" s="194" t="s">
        <v>701</v>
      </c>
      <c r="AZ15" s="194" t="s">
        <v>701</v>
      </c>
      <c r="BA15" s="195" t="s">
        <v>701</v>
      </c>
      <c r="BB15" s="200" t="str">
        <f>IFERROR(IF(LEFT(Minták!BM8,1)="&lt;",Minták!BM8,VALUE(Minták!BM8)),"ures")</f>
        <v>&lt;0,04</v>
      </c>
      <c r="BC15" s="201" t="str">
        <f>IFERROR(IF(LEFT(Minták!BN8,1)="&lt;",Minták!BN8,VALUE(Minták!BN8)),"ures")</f>
        <v>&lt;1,00</v>
      </c>
      <c r="BD15" s="201">
        <f>IFERROR(IF(LEFT(Minták!BO8,1)="&lt;",Minták!BO8,VALUE(Minták!BO8)),"ures")</f>
        <v>0.04</v>
      </c>
      <c r="BE15" s="201">
        <f>IFERROR(IF(LEFT(Minták!BP8,1)="&lt;",Minták!BP8,VALUE(Minták!BP8)),"ures")</f>
        <v>0.05</v>
      </c>
      <c r="BF15" s="201">
        <f>IFERROR(IF(LEFT(Minták!BQ8,1)="&lt;",Minták!BQ8,VALUE(Minták!BQ8)),"ures")</f>
        <v>0.05</v>
      </c>
      <c r="BG15" s="201">
        <f>IFERROR(IF(LEFT(Minták!BR8,1)="&lt;",Minták!BR8,VALUE(Minták!BR8)),"ures")</f>
        <v>13</v>
      </c>
      <c r="BH15" s="201">
        <f>IFERROR(IF(LEFT(Minták!BS8,1)="&lt;",Minták!BS8,VALUE(Minták!BS8)),"ures")</f>
        <v>0.4</v>
      </c>
      <c r="BI15" s="201">
        <f>IFERROR(IF(LEFT(Minták!BT8,1)="&lt;",Minták!BT8,VALUE(Minták!BT8)),"ures")</f>
        <v>126</v>
      </c>
      <c r="BJ15" s="201">
        <f>IFERROR(IF(LEFT(Minták!BU8,1)="&lt;",Minták!BU8,VALUE(Minták!BU8)),"ures")</f>
        <v>45</v>
      </c>
      <c r="BK15" s="201">
        <f>IFERROR(IF(LEFT(Minták!BV8,1)="&lt;",Minták!BV8,VALUE(Minták!BV8)),"ures")</f>
        <v>27.3</v>
      </c>
      <c r="BL15" s="201">
        <f>IFERROR(IF(LEFT(Minták!BW8,1)="&lt;",Minták!BW8,VALUE(Minták!BW8)),"ures")</f>
        <v>3.3</v>
      </c>
      <c r="BM15" s="201">
        <f>IFERROR(IF(LEFT(Minták!BX8,1)="&lt;",Minták!BX8,VALUE(Minták!BX8)),"ures")</f>
        <v>7.08</v>
      </c>
      <c r="BN15" s="201">
        <f>IFERROR(IF(LEFT(Minták!BY8,1)="&lt;",Minták!BY8,VALUE(Minták!BY8)),"ures")</f>
        <v>415</v>
      </c>
      <c r="BO15" s="201">
        <f>IFERROR(IF(LEFT(Minták!BZ8,1)="&lt;",Minták!BZ8,VALUE(Minták!BZ8)),"ures")</f>
        <v>10.3</v>
      </c>
      <c r="BP15" s="201">
        <f>IFERROR(IF(LEFT(Minták!CA8,1)="&lt;",Minták!CA8,VALUE(Minták!CA8)),"ures")</f>
        <v>33</v>
      </c>
      <c r="BQ15" s="201">
        <f>IFERROR(IF(LEFT(Minták!CB8,1)="&lt;",Minták!CB8,VALUE(Minták!CB8)),"ures")</f>
        <v>0.16</v>
      </c>
      <c r="BR15" s="197" t="str">
        <f>IFERROR(Minták!CC8,"ures")</f>
        <v>szintelen</v>
      </c>
      <c r="BS15" s="197" t="str">
        <f>IFERROR(Minták!CD8,"ures")</f>
        <v>szagtalan</v>
      </c>
      <c r="BT15" s="197" t="str">
        <f>IFERROR(Minták!CE8,"ures")</f>
        <v>iztelen</v>
      </c>
      <c r="BU15" s="202">
        <f>IFERROR(IF(LEFT(Minták!CF8,1)="&lt;",Minták!CF8,VALUE(Minták!CF8)),"ures")</f>
        <v>201</v>
      </c>
      <c r="BV15" s="199" t="s">
        <v>701</v>
      </c>
      <c r="BW15" s="194" t="s">
        <v>701</v>
      </c>
      <c r="BX15" s="194" t="s">
        <v>701</v>
      </c>
      <c r="BY15" s="194" t="s">
        <v>701</v>
      </c>
      <c r="BZ15" s="194" t="s">
        <v>701</v>
      </c>
      <c r="CA15" s="194" t="s">
        <v>701</v>
      </c>
      <c r="CB15" s="194" t="s">
        <v>701</v>
      </c>
      <c r="CC15" s="194" t="s">
        <v>701</v>
      </c>
      <c r="CD15" s="194" t="s">
        <v>701</v>
      </c>
      <c r="CE15" s="194" t="s">
        <v>701</v>
      </c>
      <c r="CF15" s="194" t="s">
        <v>701</v>
      </c>
      <c r="CG15" s="194" t="s">
        <v>701</v>
      </c>
      <c r="CH15" s="194" t="s">
        <v>701</v>
      </c>
      <c r="CI15" s="194" t="s">
        <v>701</v>
      </c>
      <c r="CJ15" s="194" t="s">
        <v>701</v>
      </c>
      <c r="CK15" s="194" t="s">
        <v>701</v>
      </c>
      <c r="CL15" s="194" t="s">
        <v>701</v>
      </c>
      <c r="CM15" s="194" t="s">
        <v>701</v>
      </c>
      <c r="CN15" s="194" t="s">
        <v>701</v>
      </c>
      <c r="CO15" s="194" t="s">
        <v>701</v>
      </c>
      <c r="CP15" s="194" t="s">
        <v>701</v>
      </c>
      <c r="CQ15" s="194" t="s">
        <v>701</v>
      </c>
      <c r="CR15" s="194" t="s">
        <v>701</v>
      </c>
      <c r="CS15" s="194" t="s">
        <v>701</v>
      </c>
      <c r="CT15" s="194" t="s">
        <v>701</v>
      </c>
      <c r="CU15" s="194" t="s">
        <v>701</v>
      </c>
      <c r="CV15" s="194" t="s">
        <v>701</v>
      </c>
      <c r="CW15" s="194" t="s">
        <v>701</v>
      </c>
      <c r="CX15" s="194" t="s">
        <v>701</v>
      </c>
      <c r="CY15" s="194" t="s">
        <v>701</v>
      </c>
      <c r="CZ15" s="194" t="s">
        <v>701</v>
      </c>
      <c r="DA15" s="194" t="s">
        <v>701</v>
      </c>
      <c r="DB15" s="194" t="s">
        <v>701</v>
      </c>
      <c r="DC15" s="194" t="s">
        <v>701</v>
      </c>
      <c r="DD15" s="194" t="s">
        <v>701</v>
      </c>
      <c r="DE15" s="194" t="s">
        <v>701</v>
      </c>
      <c r="DF15" s="194" t="s">
        <v>701</v>
      </c>
      <c r="DG15" s="194" t="s">
        <v>701</v>
      </c>
      <c r="DH15" s="194" t="s">
        <v>701</v>
      </c>
      <c r="DI15" s="194" t="s">
        <v>701</v>
      </c>
      <c r="DJ15" s="194" t="s">
        <v>701</v>
      </c>
      <c r="DK15" s="194" t="s">
        <v>701</v>
      </c>
      <c r="DL15" s="194" t="s">
        <v>701</v>
      </c>
      <c r="DM15" s="194" t="s">
        <v>701</v>
      </c>
      <c r="DN15" s="194" t="s">
        <v>701</v>
      </c>
      <c r="DO15" s="194" t="s">
        <v>701</v>
      </c>
      <c r="DP15" s="194" t="s">
        <v>701</v>
      </c>
      <c r="DQ15" s="194" t="s">
        <v>701</v>
      </c>
      <c r="DR15" s="194" t="s">
        <v>701</v>
      </c>
      <c r="DS15" s="194" t="s">
        <v>701</v>
      </c>
      <c r="DT15" s="194" t="s">
        <v>701</v>
      </c>
      <c r="DU15" s="194" t="s">
        <v>701</v>
      </c>
      <c r="DV15" s="194" t="s">
        <v>701</v>
      </c>
      <c r="DW15" s="194" t="s">
        <v>701</v>
      </c>
      <c r="DX15" s="194" t="s">
        <v>701</v>
      </c>
      <c r="DY15" s="194" t="s">
        <v>701</v>
      </c>
      <c r="DZ15" s="194" t="s">
        <v>701</v>
      </c>
      <c r="EA15" s="194" t="s">
        <v>701</v>
      </c>
      <c r="EB15" s="194" t="s">
        <v>701</v>
      </c>
      <c r="EC15" s="194" t="s">
        <v>701</v>
      </c>
      <c r="ED15" s="194" t="s">
        <v>701</v>
      </c>
      <c r="EE15" s="194" t="s">
        <v>701</v>
      </c>
      <c r="EF15" s="194" t="s">
        <v>701</v>
      </c>
      <c r="EG15" s="194" t="s">
        <v>701</v>
      </c>
      <c r="EH15" s="194" t="s">
        <v>701</v>
      </c>
      <c r="EI15" s="194" t="s">
        <v>701</v>
      </c>
      <c r="EJ15" s="194" t="s">
        <v>701</v>
      </c>
      <c r="EK15" s="194" t="s">
        <v>701</v>
      </c>
      <c r="EL15" s="194" t="s">
        <v>701</v>
      </c>
      <c r="EM15" s="194" t="s">
        <v>701</v>
      </c>
      <c r="EN15" s="194" t="s">
        <v>701</v>
      </c>
      <c r="EO15" s="194" t="s">
        <v>701</v>
      </c>
      <c r="EP15" s="194" t="s">
        <v>701</v>
      </c>
      <c r="EQ15" s="194" t="s">
        <v>701</v>
      </c>
      <c r="ER15" s="194" t="s">
        <v>701</v>
      </c>
      <c r="ES15" s="194" t="s">
        <v>701</v>
      </c>
      <c r="ET15" s="194" t="s">
        <v>701</v>
      </c>
      <c r="EU15" s="194" t="s">
        <v>701</v>
      </c>
      <c r="EV15" s="194" t="s">
        <v>701</v>
      </c>
      <c r="EW15" s="194" t="s">
        <v>701</v>
      </c>
      <c r="EX15" s="194" t="s">
        <v>701</v>
      </c>
      <c r="EY15" s="194" t="s">
        <v>701</v>
      </c>
      <c r="EZ15" s="194" t="s">
        <v>701</v>
      </c>
      <c r="FA15" s="194" t="s">
        <v>701</v>
      </c>
      <c r="FB15" s="194" t="s">
        <v>701</v>
      </c>
      <c r="FC15" s="194" t="s">
        <v>701</v>
      </c>
      <c r="FD15" s="194" t="s">
        <v>701</v>
      </c>
      <c r="FE15" s="194" t="s">
        <v>701</v>
      </c>
      <c r="FF15" s="194" t="s">
        <v>701</v>
      </c>
      <c r="FG15" s="194" t="s">
        <v>701</v>
      </c>
      <c r="FH15" s="194" t="s">
        <v>701</v>
      </c>
      <c r="FI15" s="194" t="s">
        <v>701</v>
      </c>
      <c r="FJ15" s="194" t="s">
        <v>701</v>
      </c>
      <c r="FK15" s="194" t="s">
        <v>701</v>
      </c>
      <c r="FL15" s="194" t="s">
        <v>701</v>
      </c>
      <c r="FM15" s="194" t="s">
        <v>701</v>
      </c>
      <c r="FN15" s="194" t="s">
        <v>701</v>
      </c>
      <c r="FO15" s="194" t="s">
        <v>701</v>
      </c>
      <c r="FP15" s="194" t="s">
        <v>701</v>
      </c>
      <c r="FQ15" s="194" t="s">
        <v>701</v>
      </c>
      <c r="FR15" s="194" t="s">
        <v>701</v>
      </c>
      <c r="FS15" s="194" t="s">
        <v>701</v>
      </c>
      <c r="FT15" s="194" t="s">
        <v>701</v>
      </c>
      <c r="FU15" s="194" t="s">
        <v>701</v>
      </c>
      <c r="FV15" s="194" t="s">
        <v>701</v>
      </c>
      <c r="FW15" s="194" t="s">
        <v>701</v>
      </c>
      <c r="FX15" s="194" t="s">
        <v>701</v>
      </c>
      <c r="FY15" s="26" t="s">
        <v>511</v>
      </c>
    </row>
    <row r="16" spans="1:181" ht="16.149999999999999" customHeight="1" thickBot="1" x14ac:dyDescent="0.3">
      <c r="A16" s="186">
        <f>Minták!B9</f>
        <v>5</v>
      </c>
      <c r="B16" s="187"/>
      <c r="C16" s="22" t="str">
        <f>Minták!I9</f>
        <v>IV</v>
      </c>
      <c r="D16" s="22">
        <f>Minták!J9</f>
        <v>20511827</v>
      </c>
      <c r="E16" s="188" t="s">
        <v>699</v>
      </c>
      <c r="F16" s="22" t="str">
        <f>Minták!L9</f>
        <v>U</v>
      </c>
      <c r="G16" s="189">
        <f>MV!L11</f>
        <v>45296</v>
      </c>
      <c r="H16" s="190">
        <f t="shared" si="0"/>
        <v>2024</v>
      </c>
      <c r="I16" s="190">
        <f t="shared" si="1"/>
        <v>1</v>
      </c>
      <c r="J16" s="1" t="str">
        <f>Minták!O9</f>
        <v>Győr-Moson-Sopron Vármegyei Kormányhivatal Népegészségügyi Főosztály Laboratóriumi Osztály TEFONAZ Laboratórium</v>
      </c>
      <c r="K16" s="25">
        <f>Minták!M9</f>
        <v>21889737</v>
      </c>
      <c r="L16" s="188" t="s">
        <v>699</v>
      </c>
      <c r="M16" s="24" t="str">
        <f>Minták!N9</f>
        <v>NAH-1-1341/2019</v>
      </c>
      <c r="N16" s="385">
        <f>Minták!E9</f>
        <v>45296</v>
      </c>
      <c r="O16" s="385">
        <f t="shared" si="2"/>
        <v>45296</v>
      </c>
      <c r="P16" s="385">
        <f>Minták!AU9</f>
        <v>45324</v>
      </c>
      <c r="Q16" s="22" t="str">
        <f>Minták!P9</f>
        <v>TERV</v>
      </c>
      <c r="R16" s="191" t="str">
        <f>Minták!Q9</f>
        <v>-</v>
      </c>
      <c r="S16" s="188" t="s">
        <v>699</v>
      </c>
      <c r="T16" s="26" t="str">
        <f>Minták!G9</f>
        <v>lLWVCL</v>
      </c>
      <c r="U16" s="192"/>
      <c r="V16" s="192"/>
      <c r="W16" s="193" t="str">
        <f>Minták!F9</f>
        <v>3086 Aaompjnhr Ubqpva</v>
      </c>
      <c r="X16" s="25">
        <f>Minták!R9</f>
        <v>2200078623</v>
      </c>
      <c r="Y16" s="188" t="s">
        <v>699</v>
      </c>
      <c r="Z16" s="1" t="str">
        <f>Minták!S9</f>
        <v>nem</v>
      </c>
      <c r="AA16" s="25" t="str">
        <f>Minták!T9</f>
        <v>Megrendelő</v>
      </c>
      <c r="AB16" s="24" t="str">
        <f>Minták!U9</f>
        <v>na</v>
      </c>
      <c r="AC16" s="188" t="s">
        <v>699</v>
      </c>
      <c r="AD16" s="26" t="s">
        <v>44</v>
      </c>
      <c r="AE16" s="157" t="str">
        <f>Minták!X9</f>
        <v>Teljes</v>
      </c>
      <c r="AF16" s="26"/>
      <c r="AG16" s="26"/>
      <c r="AH16" s="26"/>
      <c r="AI16" s="194" t="s">
        <v>701</v>
      </c>
      <c r="AJ16" s="194" t="s">
        <v>701</v>
      </c>
      <c r="AK16" s="194" t="s">
        <v>701</v>
      </c>
      <c r="AL16" s="194" t="s">
        <v>701</v>
      </c>
      <c r="AM16" s="194" t="s">
        <v>701</v>
      </c>
      <c r="AN16" s="194" t="s">
        <v>701</v>
      </c>
      <c r="AO16" s="194" t="s">
        <v>701</v>
      </c>
      <c r="AP16" s="194" t="s">
        <v>701</v>
      </c>
      <c r="AQ16" s="194" t="s">
        <v>701</v>
      </c>
      <c r="AR16" s="194" t="s">
        <v>701</v>
      </c>
      <c r="AS16" s="194" t="s">
        <v>701</v>
      </c>
      <c r="AT16" s="194" t="s">
        <v>701</v>
      </c>
      <c r="AU16" s="194" t="s">
        <v>701</v>
      </c>
      <c r="AV16" s="194" t="s">
        <v>701</v>
      </c>
      <c r="AW16" s="194" t="s">
        <v>701</v>
      </c>
      <c r="AX16" s="194" t="s">
        <v>701</v>
      </c>
      <c r="AY16" s="194" t="s">
        <v>701</v>
      </c>
      <c r="AZ16" s="194" t="s">
        <v>701</v>
      </c>
      <c r="BA16" s="195" t="s">
        <v>701</v>
      </c>
      <c r="BB16" s="200">
        <f>IFERROR(IF(LEFT(Minták!BM9,1)="&lt;",Minták!BM9,VALUE(Minták!BM9)),"ures")</f>
        <v>0.04</v>
      </c>
      <c r="BC16" s="201">
        <f>IFERROR(IF(LEFT(Minták!BN9,1)="&lt;",Minták!BN9,VALUE(Minták!BN9)),"ures")</f>
        <v>1.25</v>
      </c>
      <c r="BD16" s="201">
        <f>IFERROR(IF(LEFT(Minták!BO9,1)="&lt;",Minták!BO9,VALUE(Minták!BO9)),"ures")</f>
        <v>0.05</v>
      </c>
      <c r="BE16" s="201">
        <f>IFERROR(IF(LEFT(Minták!BP9,1)="&lt;",Minták!BP9,VALUE(Minták!BP9)),"ures")</f>
        <v>0.06</v>
      </c>
      <c r="BF16" s="201">
        <f>IFERROR(IF(LEFT(Minták!BQ9,1)="&lt;",Minták!BQ9,VALUE(Minták!BQ9)),"ures")</f>
        <v>7.0000000000000007E-2</v>
      </c>
      <c r="BG16" s="201">
        <f>IFERROR(IF(LEFT(Minták!BR9,1)="&lt;",Minták!BR9,VALUE(Minták!BR9)),"ures")</f>
        <v>14</v>
      </c>
      <c r="BH16" s="201">
        <f>IFERROR(IF(LEFT(Minták!BS9,1)="&lt;",Minták!BS9,VALUE(Minták!BS9)),"ures")</f>
        <v>0.5</v>
      </c>
      <c r="BI16" s="201">
        <f>IFERROR(IF(LEFT(Minták!BT9,1)="&lt;",Minták!BT9,VALUE(Minták!BT9)),"ures")</f>
        <v>128</v>
      </c>
      <c r="BJ16" s="201">
        <f>IFERROR(IF(LEFT(Minták!BU9,1)="&lt;",Minták!BU9,VALUE(Minták!BU9)),"ures")</f>
        <v>45.7</v>
      </c>
      <c r="BK16" s="201">
        <f>IFERROR(IF(LEFT(Minták!BV9,1)="&lt;",Minták!BV9,VALUE(Minták!BV9)),"ures")</f>
        <v>27.7</v>
      </c>
      <c r="BL16" s="201">
        <f>IFERROR(IF(LEFT(Minták!BW9,1)="&lt;",Minták!BW9,VALUE(Minták!BW9)),"ures")</f>
        <v>3.4</v>
      </c>
      <c r="BM16" s="201">
        <f>IFERROR(IF(LEFT(Minták!BX9,1)="&lt;",Minták!BX9,VALUE(Minták!BX9)),"ures")</f>
        <v>7.1</v>
      </c>
      <c r="BN16" s="201">
        <f>IFERROR(IF(LEFT(Minták!BY9,1)="&lt;",Minták!BY9,VALUE(Minták!BY9)),"ures")</f>
        <v>420</v>
      </c>
      <c r="BO16" s="201">
        <f>IFERROR(IF(LEFT(Minták!BZ9,1)="&lt;",Minták!BZ9,VALUE(Minták!BZ9)),"ures")</f>
        <v>10.4</v>
      </c>
      <c r="BP16" s="201">
        <f>IFERROR(IF(LEFT(Minták!CA9,1)="&lt;",Minták!CA9,VALUE(Minták!CA9)),"ures")</f>
        <v>41</v>
      </c>
      <c r="BQ16" s="201">
        <f>IFERROR(IF(LEFT(Minták!CB9,1)="&lt;",Minták!CB9,VALUE(Minták!CB9)),"ures")</f>
        <v>0.18</v>
      </c>
      <c r="BR16" s="197" t="str">
        <f>IFERROR(Minták!CC9,"ures")</f>
        <v>szintelen</v>
      </c>
      <c r="BS16" s="197" t="str">
        <f>IFERROR(Minták!CD9,"ures")</f>
        <v>szagtalan</v>
      </c>
      <c r="BT16" s="197" t="str">
        <f>IFERROR(Minták!CE9,"ures")</f>
        <v>iztelen</v>
      </c>
      <c r="BU16" s="202">
        <f>IFERROR(IF(LEFT(Minták!CF9,1)="&lt;",Minták!CF9,VALUE(Minták!CF9)),"ures")</f>
        <v>207</v>
      </c>
      <c r="BV16" s="199" t="s">
        <v>701</v>
      </c>
      <c r="BW16" s="194" t="s">
        <v>701</v>
      </c>
      <c r="BX16" s="194" t="s">
        <v>701</v>
      </c>
      <c r="BY16" s="194" t="s">
        <v>701</v>
      </c>
      <c r="BZ16" s="194" t="s">
        <v>701</v>
      </c>
      <c r="CA16" s="194" t="s">
        <v>701</v>
      </c>
      <c r="CB16" s="194" t="s">
        <v>701</v>
      </c>
      <c r="CC16" s="194" t="s">
        <v>701</v>
      </c>
      <c r="CD16" s="194" t="s">
        <v>701</v>
      </c>
      <c r="CE16" s="194" t="s">
        <v>701</v>
      </c>
      <c r="CF16" s="194" t="s">
        <v>701</v>
      </c>
      <c r="CG16" s="194" t="s">
        <v>701</v>
      </c>
      <c r="CH16" s="194" t="s">
        <v>701</v>
      </c>
      <c r="CI16" s="194" t="s">
        <v>701</v>
      </c>
      <c r="CJ16" s="194" t="s">
        <v>701</v>
      </c>
      <c r="CK16" s="194" t="s">
        <v>701</v>
      </c>
      <c r="CL16" s="194" t="s">
        <v>701</v>
      </c>
      <c r="CM16" s="194" t="s">
        <v>701</v>
      </c>
      <c r="CN16" s="194" t="s">
        <v>701</v>
      </c>
      <c r="CO16" s="194" t="s">
        <v>701</v>
      </c>
      <c r="CP16" s="194" t="s">
        <v>701</v>
      </c>
      <c r="CQ16" s="194" t="s">
        <v>701</v>
      </c>
      <c r="CR16" s="194" t="s">
        <v>701</v>
      </c>
      <c r="CS16" s="194" t="s">
        <v>701</v>
      </c>
      <c r="CT16" s="194" t="s">
        <v>701</v>
      </c>
      <c r="CU16" s="194" t="s">
        <v>701</v>
      </c>
      <c r="CV16" s="194" t="s">
        <v>701</v>
      </c>
      <c r="CW16" s="194" t="s">
        <v>701</v>
      </c>
      <c r="CX16" s="194" t="s">
        <v>701</v>
      </c>
      <c r="CY16" s="194" t="s">
        <v>701</v>
      </c>
      <c r="CZ16" s="194" t="s">
        <v>701</v>
      </c>
      <c r="DA16" s="194" t="s">
        <v>701</v>
      </c>
      <c r="DB16" s="194" t="s">
        <v>701</v>
      </c>
      <c r="DC16" s="194" t="s">
        <v>701</v>
      </c>
      <c r="DD16" s="194" t="s">
        <v>701</v>
      </c>
      <c r="DE16" s="194" t="s">
        <v>701</v>
      </c>
      <c r="DF16" s="194" t="s">
        <v>701</v>
      </c>
      <c r="DG16" s="194" t="s">
        <v>701</v>
      </c>
      <c r="DH16" s="194" t="s">
        <v>701</v>
      </c>
      <c r="DI16" s="194" t="s">
        <v>701</v>
      </c>
      <c r="DJ16" s="194" t="s">
        <v>701</v>
      </c>
      <c r="DK16" s="194" t="s">
        <v>701</v>
      </c>
      <c r="DL16" s="194" t="s">
        <v>701</v>
      </c>
      <c r="DM16" s="194" t="s">
        <v>701</v>
      </c>
      <c r="DN16" s="194" t="s">
        <v>701</v>
      </c>
      <c r="DO16" s="194" t="s">
        <v>701</v>
      </c>
      <c r="DP16" s="194" t="s">
        <v>701</v>
      </c>
      <c r="DQ16" s="194" t="s">
        <v>701</v>
      </c>
      <c r="DR16" s="194" t="s">
        <v>701</v>
      </c>
      <c r="DS16" s="194" t="s">
        <v>701</v>
      </c>
      <c r="DT16" s="194" t="s">
        <v>701</v>
      </c>
      <c r="DU16" s="194" t="s">
        <v>701</v>
      </c>
      <c r="DV16" s="194" t="s">
        <v>701</v>
      </c>
      <c r="DW16" s="194" t="s">
        <v>701</v>
      </c>
      <c r="DX16" s="194" t="s">
        <v>701</v>
      </c>
      <c r="DY16" s="194" t="s">
        <v>701</v>
      </c>
      <c r="DZ16" s="194" t="s">
        <v>701</v>
      </c>
      <c r="EA16" s="194" t="s">
        <v>701</v>
      </c>
      <c r="EB16" s="194" t="s">
        <v>701</v>
      </c>
      <c r="EC16" s="194" t="s">
        <v>701</v>
      </c>
      <c r="ED16" s="194" t="s">
        <v>701</v>
      </c>
      <c r="EE16" s="194" t="s">
        <v>701</v>
      </c>
      <c r="EF16" s="194" t="s">
        <v>701</v>
      </c>
      <c r="EG16" s="194" t="s">
        <v>701</v>
      </c>
      <c r="EH16" s="194" t="s">
        <v>701</v>
      </c>
      <c r="EI16" s="194" t="s">
        <v>701</v>
      </c>
      <c r="EJ16" s="194" t="s">
        <v>701</v>
      </c>
      <c r="EK16" s="194" t="s">
        <v>701</v>
      </c>
      <c r="EL16" s="194" t="s">
        <v>701</v>
      </c>
      <c r="EM16" s="194" t="s">
        <v>701</v>
      </c>
      <c r="EN16" s="194" t="s">
        <v>701</v>
      </c>
      <c r="EO16" s="194" t="s">
        <v>701</v>
      </c>
      <c r="EP16" s="194" t="s">
        <v>701</v>
      </c>
      <c r="EQ16" s="194" t="s">
        <v>701</v>
      </c>
      <c r="ER16" s="194" t="s">
        <v>701</v>
      </c>
      <c r="ES16" s="194" t="s">
        <v>701</v>
      </c>
      <c r="ET16" s="194" t="s">
        <v>701</v>
      </c>
      <c r="EU16" s="194" t="s">
        <v>701</v>
      </c>
      <c r="EV16" s="194" t="s">
        <v>701</v>
      </c>
      <c r="EW16" s="194" t="s">
        <v>701</v>
      </c>
      <c r="EX16" s="194" t="s">
        <v>701</v>
      </c>
      <c r="EY16" s="194" t="s">
        <v>701</v>
      </c>
      <c r="EZ16" s="194" t="s">
        <v>701</v>
      </c>
      <c r="FA16" s="194" t="s">
        <v>701</v>
      </c>
      <c r="FB16" s="194" t="s">
        <v>701</v>
      </c>
      <c r="FC16" s="194" t="s">
        <v>701</v>
      </c>
      <c r="FD16" s="194" t="s">
        <v>701</v>
      </c>
      <c r="FE16" s="194" t="s">
        <v>701</v>
      </c>
      <c r="FF16" s="194" t="s">
        <v>701</v>
      </c>
      <c r="FG16" s="194" t="s">
        <v>701</v>
      </c>
      <c r="FH16" s="194" t="s">
        <v>701</v>
      </c>
      <c r="FI16" s="194" t="s">
        <v>701</v>
      </c>
      <c r="FJ16" s="194" t="s">
        <v>701</v>
      </c>
      <c r="FK16" s="194" t="s">
        <v>701</v>
      </c>
      <c r="FL16" s="194" t="s">
        <v>701</v>
      </c>
      <c r="FM16" s="194" t="s">
        <v>701</v>
      </c>
      <c r="FN16" s="194" t="s">
        <v>701</v>
      </c>
      <c r="FO16" s="194" t="s">
        <v>701</v>
      </c>
      <c r="FP16" s="194" t="s">
        <v>701</v>
      </c>
      <c r="FQ16" s="194" t="s">
        <v>701</v>
      </c>
      <c r="FR16" s="194" t="s">
        <v>701</v>
      </c>
      <c r="FS16" s="194" t="s">
        <v>701</v>
      </c>
      <c r="FT16" s="194" t="s">
        <v>701</v>
      </c>
      <c r="FU16" s="194" t="s">
        <v>701</v>
      </c>
      <c r="FV16" s="194" t="s">
        <v>701</v>
      </c>
      <c r="FW16" s="194" t="s">
        <v>701</v>
      </c>
      <c r="FX16" s="194" t="s">
        <v>701</v>
      </c>
      <c r="FY16" s="26" t="s">
        <v>511</v>
      </c>
    </row>
    <row r="17" spans="1:181" ht="16.149999999999999" customHeight="1" thickBot="1" x14ac:dyDescent="0.3">
      <c r="A17" s="186">
        <f>Minták!B10</f>
        <v>6</v>
      </c>
      <c r="B17" s="187"/>
      <c r="C17" s="22" t="str">
        <f>Minták!I10</f>
        <v>IV</v>
      </c>
      <c r="D17" s="22">
        <f>Minták!J10</f>
        <v>20511827</v>
      </c>
      <c r="E17" s="188" t="s">
        <v>699</v>
      </c>
      <c r="F17" s="22" t="str">
        <f>Minták!L10</f>
        <v>U</v>
      </c>
      <c r="G17" s="189">
        <f>MV!L12</f>
        <v>45297</v>
      </c>
      <c r="H17" s="190">
        <f t="shared" si="0"/>
        <v>2024</v>
      </c>
      <c r="I17" s="190">
        <f t="shared" si="1"/>
        <v>1</v>
      </c>
      <c r="J17" s="1" t="str">
        <f>Minták!O10</f>
        <v>Aqua Szolgáltató Kft. Vizsgáló-laboratórium</v>
      </c>
      <c r="K17" s="25">
        <f>Minták!M10</f>
        <v>21889495</v>
      </c>
      <c r="L17" s="188" t="s">
        <v>699</v>
      </c>
      <c r="M17" s="24" t="str">
        <f>Minták!N10</f>
        <v>NAH-1-1650/2019</v>
      </c>
      <c r="N17" s="385">
        <f>Minták!E10</f>
        <v>45297</v>
      </c>
      <c r="O17" s="385">
        <f t="shared" si="2"/>
        <v>45297</v>
      </c>
      <c r="P17" s="385">
        <f>Minták!AU10</f>
        <v>45324</v>
      </c>
      <c r="Q17" s="22" t="str">
        <f>Minták!P10</f>
        <v>TERV</v>
      </c>
      <c r="R17" s="191" t="str">
        <f>Minták!Q10</f>
        <v>-</v>
      </c>
      <c r="S17" s="188" t="s">
        <v>699</v>
      </c>
      <c r="T17" s="26" t="str">
        <f>Minták!G10</f>
        <v>lLWVCL</v>
      </c>
      <c r="U17" s="192"/>
      <c r="V17" s="192"/>
      <c r="W17" s="193" t="str">
        <f>Minták!F10</f>
        <v>7919 Jxbxjr Eouypz</v>
      </c>
      <c r="X17" s="25">
        <f>Minták!R10</f>
        <v>6823384529</v>
      </c>
      <c r="Y17" s="188" t="s">
        <v>699</v>
      </c>
      <c r="Z17" s="1" t="str">
        <f>Minták!S10</f>
        <v>na</v>
      </c>
      <c r="AA17" s="25" t="str">
        <f>Minták!T10</f>
        <v>na</v>
      </c>
      <c r="AB17" s="24" t="str">
        <f>Minták!U10</f>
        <v>na</v>
      </c>
      <c r="AC17" s="188" t="s">
        <v>699</v>
      </c>
      <c r="AD17" s="26" t="s">
        <v>44</v>
      </c>
      <c r="AE17" s="157" t="str">
        <f>Minták!X10</f>
        <v>-</v>
      </c>
      <c r="AF17" s="26"/>
      <c r="AG17" s="26"/>
      <c r="AH17" s="26"/>
      <c r="AI17" s="194" t="s">
        <v>701</v>
      </c>
      <c r="AJ17" s="194" t="s">
        <v>701</v>
      </c>
      <c r="AK17" s="194" t="s">
        <v>701</v>
      </c>
      <c r="AL17" s="194" t="s">
        <v>701</v>
      </c>
      <c r="AM17" s="194" t="s">
        <v>701</v>
      </c>
      <c r="AN17" s="194" t="s">
        <v>701</v>
      </c>
      <c r="AO17" s="194" t="s">
        <v>701</v>
      </c>
      <c r="AP17" s="194" t="s">
        <v>701</v>
      </c>
      <c r="AQ17" s="194" t="s">
        <v>701</v>
      </c>
      <c r="AR17" s="194" t="s">
        <v>701</v>
      </c>
      <c r="AS17" s="194" t="s">
        <v>701</v>
      </c>
      <c r="AT17" s="194" t="s">
        <v>701</v>
      </c>
      <c r="AU17" s="194" t="s">
        <v>701</v>
      </c>
      <c r="AV17" s="194" t="s">
        <v>701</v>
      </c>
      <c r="AW17" s="194" t="s">
        <v>701</v>
      </c>
      <c r="AX17" s="194" t="s">
        <v>701</v>
      </c>
      <c r="AY17" s="194" t="s">
        <v>701</v>
      </c>
      <c r="AZ17" s="194" t="s">
        <v>701</v>
      </c>
      <c r="BA17" s="195" t="s">
        <v>701</v>
      </c>
      <c r="BB17" s="200">
        <f>IFERROR(IF(LEFT(Minták!BM10,1)="&lt;",Minták!BM10,VALUE(Minták!BM10)),"ures")</f>
        <v>0.05</v>
      </c>
      <c r="BC17" s="201">
        <f>IFERROR(IF(LEFT(Minták!BN10,1)="&lt;",Minták!BN10,VALUE(Minták!BN10)),"ures")</f>
        <v>1.49</v>
      </c>
      <c r="BD17" s="201">
        <f>IFERROR(IF(LEFT(Minták!BO10,1)="&lt;",Minták!BO10,VALUE(Minták!BO10)),"ures")</f>
        <v>0.06</v>
      </c>
      <c r="BE17" s="201">
        <f>IFERROR(IF(LEFT(Minták!BP10,1)="&lt;",Minták!BP10,VALUE(Minták!BP10)),"ures")</f>
        <v>7.0000000000000007E-2</v>
      </c>
      <c r="BF17" s="201">
        <f>IFERROR(IF(LEFT(Minták!BQ10,1)="&lt;",Minták!BQ10,VALUE(Minták!BQ10)),"ures")</f>
        <v>0.08</v>
      </c>
      <c r="BG17" s="201">
        <f>IFERROR(IF(LEFT(Minták!BR10,1)="&lt;",Minták!BR10,VALUE(Minták!BR10)),"ures")</f>
        <v>15</v>
      </c>
      <c r="BH17" s="201">
        <f>IFERROR(IF(LEFT(Minták!BS10,1)="&lt;",Minták!BS10,VALUE(Minták!BS10)),"ures")</f>
        <v>0.6</v>
      </c>
      <c r="BI17" s="201">
        <f>IFERROR(IF(LEFT(Minták!BT10,1)="&lt;",Minták!BT10,VALUE(Minták!BT10)),"ures")</f>
        <v>130</v>
      </c>
      <c r="BJ17" s="201">
        <f>IFERROR(IF(LEFT(Minták!BU10,1)="&lt;",Minták!BU10,VALUE(Minták!BU10)),"ures")</f>
        <v>46.5</v>
      </c>
      <c r="BK17" s="201">
        <f>IFERROR(IF(LEFT(Minták!BV10,1)="&lt;",Minták!BV10,VALUE(Minták!BV10)),"ures")</f>
        <v>28.2</v>
      </c>
      <c r="BL17" s="201">
        <f>IFERROR(IF(LEFT(Minták!BW10,1)="&lt;",Minták!BW10,VALUE(Minták!BW10)),"ures")</f>
        <v>3.5</v>
      </c>
      <c r="BM17" s="201">
        <f>IFERROR(IF(LEFT(Minták!BX10,1)="&lt;",Minták!BX10,VALUE(Minták!BX10)),"ures")</f>
        <v>7.12</v>
      </c>
      <c r="BN17" s="201">
        <f>IFERROR(IF(LEFT(Minták!BY10,1)="&lt;",Minták!BY10,VALUE(Minták!BY10)),"ures")</f>
        <v>425</v>
      </c>
      <c r="BO17" s="201">
        <f>IFERROR(IF(LEFT(Minták!BZ10,1)="&lt;",Minták!BZ10,VALUE(Minták!BZ10)),"ures")</f>
        <v>10.5</v>
      </c>
      <c r="BP17" s="201">
        <f>IFERROR(IF(LEFT(Minták!CA10,1)="&lt;",Minták!CA10,VALUE(Minták!CA10)),"ures")</f>
        <v>49</v>
      </c>
      <c r="BQ17" s="201">
        <f>IFERROR(IF(LEFT(Minták!CB10,1)="&lt;",Minták!CB10,VALUE(Minták!CB10)),"ures")</f>
        <v>0.2</v>
      </c>
      <c r="BR17" s="197" t="str">
        <f>IFERROR(Minták!CC10,"ures")</f>
        <v>szintelen</v>
      </c>
      <c r="BS17" s="197" t="str">
        <f>IFERROR(Minták!CD10,"ures")</f>
        <v>szagtalan</v>
      </c>
      <c r="BT17" s="197" t="str">
        <f>IFERROR(Minták!CE10,"ures")</f>
        <v>iztelen</v>
      </c>
      <c r="BU17" s="202">
        <f>IFERROR(IF(LEFT(Minták!CF10,1)="&lt;",Minták!CF10,VALUE(Minták!CF10)),"ures")</f>
        <v>214</v>
      </c>
      <c r="BV17" s="199" t="s">
        <v>701</v>
      </c>
      <c r="BW17" s="194" t="s">
        <v>701</v>
      </c>
      <c r="BX17" s="194" t="s">
        <v>701</v>
      </c>
      <c r="BY17" s="194" t="s">
        <v>701</v>
      </c>
      <c r="BZ17" s="194" t="s">
        <v>701</v>
      </c>
      <c r="CA17" s="194" t="s">
        <v>701</v>
      </c>
      <c r="CB17" s="194" t="s">
        <v>701</v>
      </c>
      <c r="CC17" s="194" t="s">
        <v>701</v>
      </c>
      <c r="CD17" s="194" t="s">
        <v>701</v>
      </c>
      <c r="CE17" s="194" t="s">
        <v>701</v>
      </c>
      <c r="CF17" s="194" t="s">
        <v>701</v>
      </c>
      <c r="CG17" s="194" t="s">
        <v>701</v>
      </c>
      <c r="CH17" s="194" t="s">
        <v>701</v>
      </c>
      <c r="CI17" s="194" t="s">
        <v>701</v>
      </c>
      <c r="CJ17" s="194" t="s">
        <v>701</v>
      </c>
      <c r="CK17" s="194" t="s">
        <v>701</v>
      </c>
      <c r="CL17" s="194" t="s">
        <v>701</v>
      </c>
      <c r="CM17" s="194" t="s">
        <v>701</v>
      </c>
      <c r="CN17" s="194" t="s">
        <v>701</v>
      </c>
      <c r="CO17" s="194" t="s">
        <v>701</v>
      </c>
      <c r="CP17" s="194" t="s">
        <v>701</v>
      </c>
      <c r="CQ17" s="194" t="s">
        <v>701</v>
      </c>
      <c r="CR17" s="194" t="s">
        <v>701</v>
      </c>
      <c r="CS17" s="194" t="s">
        <v>701</v>
      </c>
      <c r="CT17" s="194" t="s">
        <v>701</v>
      </c>
      <c r="CU17" s="194" t="s">
        <v>701</v>
      </c>
      <c r="CV17" s="194" t="s">
        <v>701</v>
      </c>
      <c r="CW17" s="194" t="s">
        <v>701</v>
      </c>
      <c r="CX17" s="194" t="s">
        <v>701</v>
      </c>
      <c r="CY17" s="194" t="s">
        <v>701</v>
      </c>
      <c r="CZ17" s="194" t="s">
        <v>701</v>
      </c>
      <c r="DA17" s="194" t="s">
        <v>701</v>
      </c>
      <c r="DB17" s="194" t="s">
        <v>701</v>
      </c>
      <c r="DC17" s="194" t="s">
        <v>701</v>
      </c>
      <c r="DD17" s="194" t="s">
        <v>701</v>
      </c>
      <c r="DE17" s="194" t="s">
        <v>701</v>
      </c>
      <c r="DF17" s="194" t="s">
        <v>701</v>
      </c>
      <c r="DG17" s="194" t="s">
        <v>701</v>
      </c>
      <c r="DH17" s="194" t="s">
        <v>701</v>
      </c>
      <c r="DI17" s="194" t="s">
        <v>701</v>
      </c>
      <c r="DJ17" s="194" t="s">
        <v>701</v>
      </c>
      <c r="DK17" s="194" t="s">
        <v>701</v>
      </c>
      <c r="DL17" s="194" t="s">
        <v>701</v>
      </c>
      <c r="DM17" s="194" t="s">
        <v>701</v>
      </c>
      <c r="DN17" s="194" t="s">
        <v>701</v>
      </c>
      <c r="DO17" s="194" t="s">
        <v>701</v>
      </c>
      <c r="DP17" s="194" t="s">
        <v>701</v>
      </c>
      <c r="DQ17" s="194" t="s">
        <v>701</v>
      </c>
      <c r="DR17" s="194" t="s">
        <v>701</v>
      </c>
      <c r="DS17" s="194" t="s">
        <v>701</v>
      </c>
      <c r="DT17" s="194" t="s">
        <v>701</v>
      </c>
      <c r="DU17" s="194" t="s">
        <v>701</v>
      </c>
      <c r="DV17" s="194" t="s">
        <v>701</v>
      </c>
      <c r="DW17" s="194" t="s">
        <v>701</v>
      </c>
      <c r="DX17" s="194" t="s">
        <v>701</v>
      </c>
      <c r="DY17" s="194" t="s">
        <v>701</v>
      </c>
      <c r="DZ17" s="194" t="s">
        <v>701</v>
      </c>
      <c r="EA17" s="194" t="s">
        <v>701</v>
      </c>
      <c r="EB17" s="194" t="s">
        <v>701</v>
      </c>
      <c r="EC17" s="194" t="s">
        <v>701</v>
      </c>
      <c r="ED17" s="194" t="s">
        <v>701</v>
      </c>
      <c r="EE17" s="194" t="s">
        <v>701</v>
      </c>
      <c r="EF17" s="194" t="s">
        <v>701</v>
      </c>
      <c r="EG17" s="194" t="s">
        <v>701</v>
      </c>
      <c r="EH17" s="194" t="s">
        <v>701</v>
      </c>
      <c r="EI17" s="194" t="s">
        <v>701</v>
      </c>
      <c r="EJ17" s="194" t="s">
        <v>701</v>
      </c>
      <c r="EK17" s="194" t="s">
        <v>701</v>
      </c>
      <c r="EL17" s="194" t="s">
        <v>701</v>
      </c>
      <c r="EM17" s="194" t="s">
        <v>701</v>
      </c>
      <c r="EN17" s="194" t="s">
        <v>701</v>
      </c>
      <c r="EO17" s="194" t="s">
        <v>701</v>
      </c>
      <c r="EP17" s="194" t="s">
        <v>701</v>
      </c>
      <c r="EQ17" s="194" t="s">
        <v>701</v>
      </c>
      <c r="ER17" s="194" t="s">
        <v>701</v>
      </c>
      <c r="ES17" s="194" t="s">
        <v>701</v>
      </c>
      <c r="ET17" s="194" t="s">
        <v>701</v>
      </c>
      <c r="EU17" s="194" t="s">
        <v>701</v>
      </c>
      <c r="EV17" s="194" t="s">
        <v>701</v>
      </c>
      <c r="EW17" s="194" t="s">
        <v>701</v>
      </c>
      <c r="EX17" s="194" t="s">
        <v>701</v>
      </c>
      <c r="EY17" s="194" t="s">
        <v>701</v>
      </c>
      <c r="EZ17" s="194" t="s">
        <v>701</v>
      </c>
      <c r="FA17" s="194" t="s">
        <v>701</v>
      </c>
      <c r="FB17" s="194" t="s">
        <v>701</v>
      </c>
      <c r="FC17" s="194" t="s">
        <v>701</v>
      </c>
      <c r="FD17" s="194" t="s">
        <v>701</v>
      </c>
      <c r="FE17" s="194" t="s">
        <v>701</v>
      </c>
      <c r="FF17" s="194" t="s">
        <v>701</v>
      </c>
      <c r="FG17" s="194" t="s">
        <v>701</v>
      </c>
      <c r="FH17" s="194" t="s">
        <v>701</v>
      </c>
      <c r="FI17" s="194" t="s">
        <v>701</v>
      </c>
      <c r="FJ17" s="194" t="s">
        <v>701</v>
      </c>
      <c r="FK17" s="194" t="s">
        <v>701</v>
      </c>
      <c r="FL17" s="194" t="s">
        <v>701</v>
      </c>
      <c r="FM17" s="194" t="s">
        <v>701</v>
      </c>
      <c r="FN17" s="194" t="s">
        <v>701</v>
      </c>
      <c r="FO17" s="194" t="s">
        <v>701</v>
      </c>
      <c r="FP17" s="194" t="s">
        <v>701</v>
      </c>
      <c r="FQ17" s="194" t="s">
        <v>701</v>
      </c>
      <c r="FR17" s="194" t="s">
        <v>701</v>
      </c>
      <c r="FS17" s="194" t="s">
        <v>701</v>
      </c>
      <c r="FT17" s="194" t="s">
        <v>701</v>
      </c>
      <c r="FU17" s="194" t="s">
        <v>701</v>
      </c>
      <c r="FV17" s="194" t="s">
        <v>701</v>
      </c>
      <c r="FW17" s="194" t="s">
        <v>701</v>
      </c>
      <c r="FX17" s="194" t="s">
        <v>701</v>
      </c>
      <c r="FY17" s="26" t="s">
        <v>511</v>
      </c>
    </row>
    <row r="18" spans="1:181" ht="16.149999999999999" customHeight="1" thickBot="1" x14ac:dyDescent="0.3">
      <c r="A18" s="186">
        <f>Minták!B11</f>
        <v>7</v>
      </c>
      <c r="B18" s="187"/>
      <c r="C18" s="22" t="str">
        <f>Minták!I11</f>
        <v>IV</v>
      </c>
      <c r="D18" s="22">
        <f>Minták!J11</f>
        <v>20511827</v>
      </c>
      <c r="E18" s="188" t="s">
        <v>699</v>
      </c>
      <c r="F18" s="22" t="str">
        <f>Minták!L11</f>
        <v>U</v>
      </c>
      <c r="G18" s="189">
        <f>MV!L13</f>
        <v>45298</v>
      </c>
      <c r="H18" s="190">
        <f t="shared" si="0"/>
        <v>2024</v>
      </c>
      <c r="I18" s="190">
        <f t="shared" si="1"/>
        <v>1</v>
      </c>
      <c r="J18" s="1" t="str">
        <f>Minták!O11</f>
        <v>Aqua Szolgáltató Kft. Vizsgáló-laboratórium</v>
      </c>
      <c r="K18" s="25">
        <f>Minták!M11</f>
        <v>21889495</v>
      </c>
      <c r="L18" s="188" t="s">
        <v>699</v>
      </c>
      <c r="M18" s="24" t="str">
        <f>Minták!N11</f>
        <v>NAH-1-1650/2019</v>
      </c>
      <c r="N18" s="385">
        <f>Minták!E11</f>
        <v>45298</v>
      </c>
      <c r="O18" s="385">
        <f t="shared" si="2"/>
        <v>45298</v>
      </c>
      <c r="P18" s="385">
        <f>Minták!AU11</f>
        <v>45324</v>
      </c>
      <c r="Q18" s="22" t="str">
        <f>Minták!P11</f>
        <v>TERV</v>
      </c>
      <c r="R18" s="191" t="str">
        <f>Minták!Q11</f>
        <v>-</v>
      </c>
      <c r="S18" s="188" t="s">
        <v>699</v>
      </c>
      <c r="T18" s="26" t="str">
        <f>Minták!G11</f>
        <v>lLWVCL</v>
      </c>
      <c r="U18" s="192"/>
      <c r="V18" s="192"/>
      <c r="W18" s="193" t="str">
        <f>Minták!F11</f>
        <v>8270 Owijzsgzrpr Rkohqy</v>
      </c>
      <c r="X18" s="25">
        <f>Minták!R11</f>
        <v>5291592686</v>
      </c>
      <c r="Y18" s="188" t="s">
        <v>699</v>
      </c>
      <c r="Z18" s="1" t="str">
        <f>Minták!S11</f>
        <v>igen</v>
      </c>
      <c r="AA18" s="25">
        <f>Minták!T11</f>
        <v>21889495</v>
      </c>
      <c r="AB18" s="24" t="str">
        <f>Minták!U11</f>
        <v>NAH-1-1650/2019</v>
      </c>
      <c r="AC18" s="188" t="s">
        <v>699</v>
      </c>
      <c r="AD18" s="26" t="s">
        <v>44</v>
      </c>
      <c r="AE18" s="157" t="str">
        <f>Minták!X11</f>
        <v>-</v>
      </c>
      <c r="AF18" s="26"/>
      <c r="AG18" s="26"/>
      <c r="AH18" s="26"/>
      <c r="AI18" s="194" t="s">
        <v>701</v>
      </c>
      <c r="AJ18" s="194" t="s">
        <v>701</v>
      </c>
      <c r="AK18" s="194" t="s">
        <v>701</v>
      </c>
      <c r="AL18" s="194" t="s">
        <v>701</v>
      </c>
      <c r="AM18" s="194" t="s">
        <v>701</v>
      </c>
      <c r="AN18" s="194" t="s">
        <v>701</v>
      </c>
      <c r="AO18" s="194" t="s">
        <v>701</v>
      </c>
      <c r="AP18" s="194" t="s">
        <v>701</v>
      </c>
      <c r="AQ18" s="194" t="s">
        <v>701</v>
      </c>
      <c r="AR18" s="194" t="s">
        <v>701</v>
      </c>
      <c r="AS18" s="194" t="s">
        <v>701</v>
      </c>
      <c r="AT18" s="194" t="s">
        <v>701</v>
      </c>
      <c r="AU18" s="194" t="s">
        <v>701</v>
      </c>
      <c r="AV18" s="194" t="s">
        <v>701</v>
      </c>
      <c r="AW18" s="194" t="s">
        <v>701</v>
      </c>
      <c r="AX18" s="194" t="s">
        <v>701</v>
      </c>
      <c r="AY18" s="194" t="s">
        <v>701</v>
      </c>
      <c r="AZ18" s="194" t="s">
        <v>701</v>
      </c>
      <c r="BA18" s="195" t="s">
        <v>701</v>
      </c>
      <c r="BB18" s="200">
        <f>IFERROR(IF(LEFT(Minták!BM11,1)="&lt;",Minták!BM11,VALUE(Minták!BM11)),"ures")</f>
        <v>0.06</v>
      </c>
      <c r="BC18" s="201">
        <f>IFERROR(IF(LEFT(Minták!BN11,1)="&lt;",Minták!BN11,VALUE(Minták!BN11)),"ures")</f>
        <v>1.74</v>
      </c>
      <c r="BD18" s="201">
        <f>IFERROR(IF(LEFT(Minták!BO11,1)="&lt;",Minták!BO11,VALUE(Minták!BO11)),"ures")</f>
        <v>0.06</v>
      </c>
      <c r="BE18" s="201">
        <f>IFERROR(IF(LEFT(Minták!BP11,1)="&lt;",Minták!BP11,VALUE(Minták!BP11)),"ures")</f>
        <v>0.08</v>
      </c>
      <c r="BF18" s="201">
        <f>IFERROR(IF(LEFT(Minták!BQ11,1)="&lt;",Minták!BQ11,VALUE(Minták!BQ11)),"ures")</f>
        <v>0.09</v>
      </c>
      <c r="BG18" s="201">
        <f>IFERROR(IF(LEFT(Minták!BR11,1)="&lt;",Minták!BR11,VALUE(Minták!BR11)),"ures")</f>
        <v>16</v>
      </c>
      <c r="BH18" s="201">
        <f>IFERROR(IF(LEFT(Minták!BS11,1)="&lt;",Minták!BS11,VALUE(Minták!BS11)),"ures")</f>
        <v>0.7</v>
      </c>
      <c r="BI18" s="201">
        <f>IFERROR(IF(LEFT(Minták!BT11,1)="&lt;",Minták!BT11,VALUE(Minták!BT11)),"ures")</f>
        <v>132</v>
      </c>
      <c r="BJ18" s="201">
        <f>IFERROR(IF(LEFT(Minták!BU11,1)="&lt;",Minták!BU11,VALUE(Minták!BU11)),"ures")</f>
        <v>47.2</v>
      </c>
      <c r="BK18" s="201">
        <f>IFERROR(IF(LEFT(Minták!BV11,1)="&lt;",Minták!BV11,VALUE(Minták!BV11)),"ures")</f>
        <v>28.6</v>
      </c>
      <c r="BL18" s="201">
        <f>IFERROR(IF(LEFT(Minták!BW11,1)="&lt;",Minták!BW11,VALUE(Minták!BW11)),"ures")</f>
        <v>3.6</v>
      </c>
      <c r="BM18" s="201">
        <f>IFERROR(IF(LEFT(Minták!BX11,1)="&lt;",Minták!BX11,VALUE(Minták!BX11)),"ures")</f>
        <v>7.14</v>
      </c>
      <c r="BN18" s="201">
        <f>IFERROR(IF(LEFT(Minták!BY11,1)="&lt;",Minták!BY11,VALUE(Minták!BY11)),"ures")</f>
        <v>430</v>
      </c>
      <c r="BO18" s="201">
        <f>IFERROR(IF(LEFT(Minták!BZ11,1)="&lt;",Minták!BZ11,VALUE(Minták!BZ11)),"ures")</f>
        <v>10.6</v>
      </c>
      <c r="BP18" s="201">
        <f>IFERROR(IF(LEFT(Minták!CA11,1)="&lt;",Minták!CA11,VALUE(Minták!CA11)),"ures")</f>
        <v>58</v>
      </c>
      <c r="BQ18" s="201">
        <f>IFERROR(IF(LEFT(Minták!CB11,1)="&lt;",Minták!CB11,VALUE(Minták!CB11)),"ures")</f>
        <v>0.22</v>
      </c>
      <c r="BR18" s="197" t="str">
        <f>IFERROR(Minták!CC11,"ures")</f>
        <v>szintelen</v>
      </c>
      <c r="BS18" s="197" t="str">
        <f>IFERROR(Minták!CD11,"ures")</f>
        <v>szagtalan</v>
      </c>
      <c r="BT18" s="197" t="str">
        <f>IFERROR(Minták!CE11,"ures")</f>
        <v>iztelen</v>
      </c>
      <c r="BU18" s="202">
        <f>IFERROR(IF(LEFT(Minták!CF11,1)="&lt;",Minták!CF11,VALUE(Minták!CF11)),"ures")</f>
        <v>220</v>
      </c>
      <c r="BV18" s="199" t="s">
        <v>701</v>
      </c>
      <c r="BW18" s="194" t="s">
        <v>701</v>
      </c>
      <c r="BX18" s="194" t="s">
        <v>701</v>
      </c>
      <c r="BY18" s="194" t="s">
        <v>701</v>
      </c>
      <c r="BZ18" s="194" t="s">
        <v>701</v>
      </c>
      <c r="CA18" s="194" t="s">
        <v>701</v>
      </c>
      <c r="CB18" s="194" t="s">
        <v>701</v>
      </c>
      <c r="CC18" s="194" t="s">
        <v>701</v>
      </c>
      <c r="CD18" s="194" t="s">
        <v>701</v>
      </c>
      <c r="CE18" s="194" t="s">
        <v>701</v>
      </c>
      <c r="CF18" s="194" t="s">
        <v>701</v>
      </c>
      <c r="CG18" s="194" t="s">
        <v>701</v>
      </c>
      <c r="CH18" s="194" t="s">
        <v>701</v>
      </c>
      <c r="CI18" s="194" t="s">
        <v>701</v>
      </c>
      <c r="CJ18" s="194" t="s">
        <v>701</v>
      </c>
      <c r="CK18" s="194" t="s">
        <v>701</v>
      </c>
      <c r="CL18" s="194" t="s">
        <v>701</v>
      </c>
      <c r="CM18" s="194" t="s">
        <v>701</v>
      </c>
      <c r="CN18" s="194" t="s">
        <v>701</v>
      </c>
      <c r="CO18" s="194" t="s">
        <v>701</v>
      </c>
      <c r="CP18" s="194" t="s">
        <v>701</v>
      </c>
      <c r="CQ18" s="194" t="s">
        <v>701</v>
      </c>
      <c r="CR18" s="194" t="s">
        <v>701</v>
      </c>
      <c r="CS18" s="194" t="s">
        <v>701</v>
      </c>
      <c r="CT18" s="194" t="s">
        <v>701</v>
      </c>
      <c r="CU18" s="194" t="s">
        <v>701</v>
      </c>
      <c r="CV18" s="194" t="s">
        <v>701</v>
      </c>
      <c r="CW18" s="194" t="s">
        <v>701</v>
      </c>
      <c r="CX18" s="194" t="s">
        <v>701</v>
      </c>
      <c r="CY18" s="194" t="s">
        <v>701</v>
      </c>
      <c r="CZ18" s="194" t="s">
        <v>701</v>
      </c>
      <c r="DA18" s="194" t="s">
        <v>701</v>
      </c>
      <c r="DB18" s="194" t="s">
        <v>701</v>
      </c>
      <c r="DC18" s="194" t="s">
        <v>701</v>
      </c>
      <c r="DD18" s="194" t="s">
        <v>701</v>
      </c>
      <c r="DE18" s="194" t="s">
        <v>701</v>
      </c>
      <c r="DF18" s="194" t="s">
        <v>701</v>
      </c>
      <c r="DG18" s="194" t="s">
        <v>701</v>
      </c>
      <c r="DH18" s="194" t="s">
        <v>701</v>
      </c>
      <c r="DI18" s="194" t="s">
        <v>701</v>
      </c>
      <c r="DJ18" s="194" t="s">
        <v>701</v>
      </c>
      <c r="DK18" s="194" t="s">
        <v>701</v>
      </c>
      <c r="DL18" s="194" t="s">
        <v>701</v>
      </c>
      <c r="DM18" s="194" t="s">
        <v>701</v>
      </c>
      <c r="DN18" s="194" t="s">
        <v>701</v>
      </c>
      <c r="DO18" s="194" t="s">
        <v>701</v>
      </c>
      <c r="DP18" s="194" t="s">
        <v>701</v>
      </c>
      <c r="DQ18" s="194" t="s">
        <v>701</v>
      </c>
      <c r="DR18" s="194" t="s">
        <v>701</v>
      </c>
      <c r="DS18" s="194" t="s">
        <v>701</v>
      </c>
      <c r="DT18" s="194" t="s">
        <v>701</v>
      </c>
      <c r="DU18" s="194" t="s">
        <v>701</v>
      </c>
      <c r="DV18" s="194" t="s">
        <v>701</v>
      </c>
      <c r="DW18" s="194" t="s">
        <v>701</v>
      </c>
      <c r="DX18" s="194" t="s">
        <v>701</v>
      </c>
      <c r="DY18" s="194" t="s">
        <v>701</v>
      </c>
      <c r="DZ18" s="194" t="s">
        <v>701</v>
      </c>
      <c r="EA18" s="194" t="s">
        <v>701</v>
      </c>
      <c r="EB18" s="194" t="s">
        <v>701</v>
      </c>
      <c r="EC18" s="194" t="s">
        <v>701</v>
      </c>
      <c r="ED18" s="194" t="s">
        <v>701</v>
      </c>
      <c r="EE18" s="194" t="s">
        <v>701</v>
      </c>
      <c r="EF18" s="194" t="s">
        <v>701</v>
      </c>
      <c r="EG18" s="194" t="s">
        <v>701</v>
      </c>
      <c r="EH18" s="194" t="s">
        <v>701</v>
      </c>
      <c r="EI18" s="194" t="s">
        <v>701</v>
      </c>
      <c r="EJ18" s="194" t="s">
        <v>701</v>
      </c>
      <c r="EK18" s="194" t="s">
        <v>701</v>
      </c>
      <c r="EL18" s="194" t="s">
        <v>701</v>
      </c>
      <c r="EM18" s="194" t="s">
        <v>701</v>
      </c>
      <c r="EN18" s="194" t="s">
        <v>701</v>
      </c>
      <c r="EO18" s="194" t="s">
        <v>701</v>
      </c>
      <c r="EP18" s="194" t="s">
        <v>701</v>
      </c>
      <c r="EQ18" s="194" t="s">
        <v>701</v>
      </c>
      <c r="ER18" s="194" t="s">
        <v>701</v>
      </c>
      <c r="ES18" s="194" t="s">
        <v>701</v>
      </c>
      <c r="ET18" s="194" t="s">
        <v>701</v>
      </c>
      <c r="EU18" s="194" t="s">
        <v>701</v>
      </c>
      <c r="EV18" s="194" t="s">
        <v>701</v>
      </c>
      <c r="EW18" s="194" t="s">
        <v>701</v>
      </c>
      <c r="EX18" s="194" t="s">
        <v>701</v>
      </c>
      <c r="EY18" s="194" t="s">
        <v>701</v>
      </c>
      <c r="EZ18" s="194" t="s">
        <v>701</v>
      </c>
      <c r="FA18" s="194" t="s">
        <v>701</v>
      </c>
      <c r="FB18" s="194" t="s">
        <v>701</v>
      </c>
      <c r="FC18" s="194" t="s">
        <v>701</v>
      </c>
      <c r="FD18" s="194" t="s">
        <v>701</v>
      </c>
      <c r="FE18" s="194" t="s">
        <v>701</v>
      </c>
      <c r="FF18" s="194" t="s">
        <v>701</v>
      </c>
      <c r="FG18" s="194" t="s">
        <v>701</v>
      </c>
      <c r="FH18" s="194" t="s">
        <v>701</v>
      </c>
      <c r="FI18" s="194" t="s">
        <v>701</v>
      </c>
      <c r="FJ18" s="194" t="s">
        <v>701</v>
      </c>
      <c r="FK18" s="194" t="s">
        <v>701</v>
      </c>
      <c r="FL18" s="194" t="s">
        <v>701</v>
      </c>
      <c r="FM18" s="194" t="s">
        <v>701</v>
      </c>
      <c r="FN18" s="194" t="s">
        <v>701</v>
      </c>
      <c r="FO18" s="194" t="s">
        <v>701</v>
      </c>
      <c r="FP18" s="194" t="s">
        <v>701</v>
      </c>
      <c r="FQ18" s="194" t="s">
        <v>701</v>
      </c>
      <c r="FR18" s="194" t="s">
        <v>701</v>
      </c>
      <c r="FS18" s="194" t="s">
        <v>701</v>
      </c>
      <c r="FT18" s="194" t="s">
        <v>701</v>
      </c>
      <c r="FU18" s="194" t="s">
        <v>701</v>
      </c>
      <c r="FV18" s="194" t="s">
        <v>701</v>
      </c>
      <c r="FW18" s="194" t="s">
        <v>701</v>
      </c>
      <c r="FX18" s="194" t="s">
        <v>701</v>
      </c>
      <c r="FY18" s="26" t="s">
        <v>511</v>
      </c>
    </row>
    <row r="19" spans="1:181" ht="16.149999999999999" customHeight="1" thickBot="1" x14ac:dyDescent="0.3">
      <c r="A19" s="186">
        <f>Minták!B12</f>
        <v>8</v>
      </c>
      <c r="B19" s="187"/>
      <c r="C19" s="22" t="str">
        <f>Minták!I12</f>
        <v>KUT</v>
      </c>
      <c r="D19" s="22">
        <f>Minták!J12</f>
        <v>20511827</v>
      </c>
      <c r="E19" s="188" t="s">
        <v>699</v>
      </c>
      <c r="F19" s="22" t="str">
        <f>Minták!L12</f>
        <v>U</v>
      </c>
      <c r="G19" s="189">
        <f>MV!L14</f>
        <v>45299</v>
      </c>
      <c r="H19" s="190">
        <f t="shared" si="0"/>
        <v>2024</v>
      </c>
      <c r="I19" s="190">
        <f t="shared" si="1"/>
        <v>1</v>
      </c>
      <c r="J19" s="1" t="str">
        <f>Minták!O12</f>
        <v>Aqua Szolgáltató Kft. Vizsgáló-laboratórium</v>
      </c>
      <c r="K19" s="25">
        <f>Minták!M12</f>
        <v>21889495</v>
      </c>
      <c r="L19" s="188" t="s">
        <v>699</v>
      </c>
      <c r="M19" s="24" t="str">
        <f>Minták!N12</f>
        <v>NAH-1-1650/2019</v>
      </c>
      <c r="N19" s="385">
        <f>Minták!E12</f>
        <v>45299</v>
      </c>
      <c r="O19" s="385">
        <f t="shared" si="2"/>
        <v>45299</v>
      </c>
      <c r="P19" s="385">
        <f>Minták!AU12</f>
        <v>45324</v>
      </c>
      <c r="Q19" s="22" t="str">
        <f>Minták!P12</f>
        <v>TERV</v>
      </c>
      <c r="R19" s="191" t="str">
        <f>Minták!Q12</f>
        <v>-</v>
      </c>
      <c r="S19" s="188" t="s">
        <v>699</v>
      </c>
      <c r="T19" s="26" t="str">
        <f>Minták!G12</f>
        <v>bNSCFQ</v>
      </c>
      <c r="U19" s="192"/>
      <c r="V19" s="192"/>
      <c r="W19" s="193" t="str">
        <f>Minták!F12</f>
        <v>2991 Jjdjhsp Vxhhmc</v>
      </c>
      <c r="X19" s="25">
        <f>Minták!R12</f>
        <v>7708361598</v>
      </c>
      <c r="Y19" s="188" t="s">
        <v>699</v>
      </c>
      <c r="Z19" s="1" t="str">
        <f>Minták!S12</f>
        <v>nem</v>
      </c>
      <c r="AA19" s="25">
        <f>Minták!T12</f>
        <v>20479120</v>
      </c>
      <c r="AB19" s="24" t="str">
        <f>Minták!U12</f>
        <v>NAH-1-1398/2024</v>
      </c>
      <c r="AC19" s="188" t="s">
        <v>699</v>
      </c>
      <c r="AD19" s="26" t="s">
        <v>44</v>
      </c>
      <c r="AE19" s="157" t="str">
        <f>Minták!X12</f>
        <v>-</v>
      </c>
      <c r="AF19" s="26"/>
      <c r="AG19" s="26"/>
      <c r="AH19" s="26"/>
      <c r="AI19" s="194" t="s">
        <v>701</v>
      </c>
      <c r="AJ19" s="194" t="s">
        <v>701</v>
      </c>
      <c r="AK19" s="194" t="s">
        <v>701</v>
      </c>
      <c r="AL19" s="194" t="s">
        <v>701</v>
      </c>
      <c r="AM19" s="194" t="s">
        <v>701</v>
      </c>
      <c r="AN19" s="194" t="s">
        <v>701</v>
      </c>
      <c r="AO19" s="194" t="s">
        <v>701</v>
      </c>
      <c r="AP19" s="194" t="s">
        <v>701</v>
      </c>
      <c r="AQ19" s="194" t="s">
        <v>701</v>
      </c>
      <c r="AR19" s="194" t="s">
        <v>701</v>
      </c>
      <c r="AS19" s="194" t="s">
        <v>701</v>
      </c>
      <c r="AT19" s="194" t="s">
        <v>701</v>
      </c>
      <c r="AU19" s="194" t="s">
        <v>701</v>
      </c>
      <c r="AV19" s="194" t="s">
        <v>701</v>
      </c>
      <c r="AW19" s="194" t="s">
        <v>701</v>
      </c>
      <c r="AX19" s="194" t="s">
        <v>701</v>
      </c>
      <c r="AY19" s="194" t="s">
        <v>701</v>
      </c>
      <c r="AZ19" s="194" t="s">
        <v>701</v>
      </c>
      <c r="BA19" s="195" t="s">
        <v>701</v>
      </c>
      <c r="BB19" s="200">
        <f>IFERROR(IF(LEFT(Minták!BM12,1)="&lt;",Minták!BM12,VALUE(Minták!BM12)),"ures")</f>
        <v>0.06</v>
      </c>
      <c r="BC19" s="201">
        <f>IFERROR(IF(LEFT(Minták!BN12,1)="&lt;",Minták!BN12,VALUE(Minták!BN12)),"ures")</f>
        <v>1.99</v>
      </c>
      <c r="BD19" s="201">
        <f>IFERROR(IF(LEFT(Minták!BO12,1)="&lt;",Minták!BO12,VALUE(Minták!BO12)),"ures")</f>
        <v>7.0000000000000007E-2</v>
      </c>
      <c r="BE19" s="201">
        <f>IFERROR(IF(LEFT(Minták!BP12,1)="&lt;",Minták!BP12,VALUE(Minták!BP12)),"ures")</f>
        <v>0.1</v>
      </c>
      <c r="BF19" s="201">
        <f>IFERROR(IF(LEFT(Minták!BQ12,1)="&lt;",Minták!BQ12,VALUE(Minták!BQ12)),"ures")</f>
        <v>0.11</v>
      </c>
      <c r="BG19" s="201">
        <f>IFERROR(IF(LEFT(Minták!BR12,1)="&lt;",Minták!BR12,VALUE(Minták!BR12)),"ures")</f>
        <v>17</v>
      </c>
      <c r="BH19" s="201">
        <f>IFERROR(IF(LEFT(Minták!BS12,1)="&lt;",Minták!BS12,VALUE(Minták!BS12)),"ures")</f>
        <v>0.8</v>
      </c>
      <c r="BI19" s="201">
        <f>IFERROR(IF(LEFT(Minták!BT12,1)="&lt;",Minták!BT12,VALUE(Minták!BT12)),"ures")</f>
        <v>134</v>
      </c>
      <c r="BJ19" s="201">
        <f>IFERROR(IF(LEFT(Minták!BU12,1)="&lt;",Minták!BU12,VALUE(Minták!BU12)),"ures")</f>
        <v>47.9</v>
      </c>
      <c r="BK19" s="201">
        <f>IFERROR(IF(LEFT(Minták!BV12,1)="&lt;",Minták!BV12,VALUE(Minták!BV12)),"ures")</f>
        <v>29</v>
      </c>
      <c r="BL19" s="201">
        <f>IFERROR(IF(LEFT(Minták!BW12,1)="&lt;",Minták!BW12,VALUE(Minták!BW12)),"ures")</f>
        <v>3.7</v>
      </c>
      <c r="BM19" s="201">
        <f>IFERROR(IF(LEFT(Minták!BX12,1)="&lt;",Minták!BX12,VALUE(Minták!BX12)),"ures")</f>
        <v>7.16</v>
      </c>
      <c r="BN19" s="201">
        <f>IFERROR(IF(LEFT(Minták!BY12,1)="&lt;",Minták!BY12,VALUE(Minták!BY12)),"ures")</f>
        <v>435</v>
      </c>
      <c r="BO19" s="201">
        <f>IFERROR(IF(LEFT(Minták!BZ12,1)="&lt;",Minták!BZ12,VALUE(Minták!BZ12)),"ures")</f>
        <v>10.7</v>
      </c>
      <c r="BP19" s="201">
        <f>IFERROR(IF(LEFT(Minták!CA12,1)="&lt;",Minták!CA12,VALUE(Minták!CA12)),"ures")</f>
        <v>66</v>
      </c>
      <c r="BQ19" s="201">
        <f>IFERROR(IF(LEFT(Minták!CB12,1)="&lt;",Minták!CB12,VALUE(Minták!CB12)),"ures")</f>
        <v>0.24</v>
      </c>
      <c r="BR19" s="197" t="str">
        <f>IFERROR(Minták!CC12,"ures")</f>
        <v>szintelen</v>
      </c>
      <c r="BS19" s="197" t="str">
        <f>IFERROR(Minták!CD12,"ures")</f>
        <v>szagtalan</v>
      </c>
      <c r="BT19" s="197" t="str">
        <f>IFERROR(Minták!CE12,"ures")</f>
        <v>iztelen</v>
      </c>
      <c r="BU19" s="202">
        <f>IFERROR(IF(LEFT(Minták!CF12,1)="&lt;",Minták!CF12,VALUE(Minták!CF12)),"ures")</f>
        <v>226</v>
      </c>
      <c r="BV19" s="199" t="s">
        <v>701</v>
      </c>
      <c r="BW19" s="194" t="s">
        <v>701</v>
      </c>
      <c r="BX19" s="194" t="s">
        <v>701</v>
      </c>
      <c r="BY19" s="194" t="s">
        <v>701</v>
      </c>
      <c r="BZ19" s="194" t="s">
        <v>701</v>
      </c>
      <c r="CA19" s="194" t="s">
        <v>701</v>
      </c>
      <c r="CB19" s="194" t="s">
        <v>701</v>
      </c>
      <c r="CC19" s="194" t="s">
        <v>701</v>
      </c>
      <c r="CD19" s="194" t="s">
        <v>701</v>
      </c>
      <c r="CE19" s="194" t="s">
        <v>701</v>
      </c>
      <c r="CF19" s="194" t="s">
        <v>701</v>
      </c>
      <c r="CG19" s="194" t="s">
        <v>701</v>
      </c>
      <c r="CH19" s="194" t="s">
        <v>701</v>
      </c>
      <c r="CI19" s="194" t="s">
        <v>701</v>
      </c>
      <c r="CJ19" s="194" t="s">
        <v>701</v>
      </c>
      <c r="CK19" s="194" t="s">
        <v>701</v>
      </c>
      <c r="CL19" s="194" t="s">
        <v>701</v>
      </c>
      <c r="CM19" s="194" t="s">
        <v>701</v>
      </c>
      <c r="CN19" s="194" t="s">
        <v>701</v>
      </c>
      <c r="CO19" s="194" t="s">
        <v>701</v>
      </c>
      <c r="CP19" s="194" t="s">
        <v>701</v>
      </c>
      <c r="CQ19" s="194" t="s">
        <v>701</v>
      </c>
      <c r="CR19" s="194" t="s">
        <v>701</v>
      </c>
      <c r="CS19" s="194" t="s">
        <v>701</v>
      </c>
      <c r="CT19" s="194" t="s">
        <v>701</v>
      </c>
      <c r="CU19" s="194" t="s">
        <v>701</v>
      </c>
      <c r="CV19" s="194" t="s">
        <v>701</v>
      </c>
      <c r="CW19" s="194" t="s">
        <v>701</v>
      </c>
      <c r="CX19" s="194" t="s">
        <v>701</v>
      </c>
      <c r="CY19" s="194" t="s">
        <v>701</v>
      </c>
      <c r="CZ19" s="194" t="s">
        <v>701</v>
      </c>
      <c r="DA19" s="194" t="s">
        <v>701</v>
      </c>
      <c r="DB19" s="194" t="s">
        <v>701</v>
      </c>
      <c r="DC19" s="194" t="s">
        <v>701</v>
      </c>
      <c r="DD19" s="194" t="s">
        <v>701</v>
      </c>
      <c r="DE19" s="194" t="s">
        <v>701</v>
      </c>
      <c r="DF19" s="194" t="s">
        <v>701</v>
      </c>
      <c r="DG19" s="194" t="s">
        <v>701</v>
      </c>
      <c r="DH19" s="194" t="s">
        <v>701</v>
      </c>
      <c r="DI19" s="194" t="s">
        <v>701</v>
      </c>
      <c r="DJ19" s="194" t="s">
        <v>701</v>
      </c>
      <c r="DK19" s="194" t="s">
        <v>701</v>
      </c>
      <c r="DL19" s="194" t="s">
        <v>701</v>
      </c>
      <c r="DM19" s="194" t="s">
        <v>701</v>
      </c>
      <c r="DN19" s="194" t="s">
        <v>701</v>
      </c>
      <c r="DO19" s="194" t="s">
        <v>701</v>
      </c>
      <c r="DP19" s="194" t="s">
        <v>701</v>
      </c>
      <c r="DQ19" s="194" t="s">
        <v>701</v>
      </c>
      <c r="DR19" s="194" t="s">
        <v>701</v>
      </c>
      <c r="DS19" s="194" t="s">
        <v>701</v>
      </c>
      <c r="DT19" s="194" t="s">
        <v>701</v>
      </c>
      <c r="DU19" s="194" t="s">
        <v>701</v>
      </c>
      <c r="DV19" s="194" t="s">
        <v>701</v>
      </c>
      <c r="DW19" s="194" t="s">
        <v>701</v>
      </c>
      <c r="DX19" s="194" t="s">
        <v>701</v>
      </c>
      <c r="DY19" s="194" t="s">
        <v>701</v>
      </c>
      <c r="DZ19" s="194" t="s">
        <v>701</v>
      </c>
      <c r="EA19" s="194" t="s">
        <v>701</v>
      </c>
      <c r="EB19" s="194" t="s">
        <v>701</v>
      </c>
      <c r="EC19" s="194" t="s">
        <v>701</v>
      </c>
      <c r="ED19" s="194" t="s">
        <v>701</v>
      </c>
      <c r="EE19" s="194" t="s">
        <v>701</v>
      </c>
      <c r="EF19" s="194" t="s">
        <v>701</v>
      </c>
      <c r="EG19" s="194" t="s">
        <v>701</v>
      </c>
      <c r="EH19" s="194" t="s">
        <v>701</v>
      </c>
      <c r="EI19" s="194" t="s">
        <v>701</v>
      </c>
      <c r="EJ19" s="194" t="s">
        <v>701</v>
      </c>
      <c r="EK19" s="194" t="s">
        <v>701</v>
      </c>
      <c r="EL19" s="194" t="s">
        <v>701</v>
      </c>
      <c r="EM19" s="194" t="s">
        <v>701</v>
      </c>
      <c r="EN19" s="194" t="s">
        <v>701</v>
      </c>
      <c r="EO19" s="194" t="s">
        <v>701</v>
      </c>
      <c r="EP19" s="194" t="s">
        <v>701</v>
      </c>
      <c r="EQ19" s="194" t="s">
        <v>701</v>
      </c>
      <c r="ER19" s="194" t="s">
        <v>701</v>
      </c>
      <c r="ES19" s="194" t="s">
        <v>701</v>
      </c>
      <c r="ET19" s="194" t="s">
        <v>701</v>
      </c>
      <c r="EU19" s="194" t="s">
        <v>701</v>
      </c>
      <c r="EV19" s="194" t="s">
        <v>701</v>
      </c>
      <c r="EW19" s="194" t="s">
        <v>701</v>
      </c>
      <c r="EX19" s="194" t="s">
        <v>701</v>
      </c>
      <c r="EY19" s="194" t="s">
        <v>701</v>
      </c>
      <c r="EZ19" s="194" t="s">
        <v>701</v>
      </c>
      <c r="FA19" s="194" t="s">
        <v>701</v>
      </c>
      <c r="FB19" s="194" t="s">
        <v>701</v>
      </c>
      <c r="FC19" s="194" t="s">
        <v>701</v>
      </c>
      <c r="FD19" s="194" t="s">
        <v>701</v>
      </c>
      <c r="FE19" s="194" t="s">
        <v>701</v>
      </c>
      <c r="FF19" s="194" t="s">
        <v>701</v>
      </c>
      <c r="FG19" s="194" t="s">
        <v>701</v>
      </c>
      <c r="FH19" s="194" t="s">
        <v>701</v>
      </c>
      <c r="FI19" s="194" t="s">
        <v>701</v>
      </c>
      <c r="FJ19" s="194" t="s">
        <v>701</v>
      </c>
      <c r="FK19" s="194" t="s">
        <v>701</v>
      </c>
      <c r="FL19" s="194" t="s">
        <v>701</v>
      </c>
      <c r="FM19" s="194" t="s">
        <v>701</v>
      </c>
      <c r="FN19" s="194" t="s">
        <v>701</v>
      </c>
      <c r="FO19" s="194" t="s">
        <v>701</v>
      </c>
      <c r="FP19" s="194" t="s">
        <v>701</v>
      </c>
      <c r="FQ19" s="194" t="s">
        <v>701</v>
      </c>
      <c r="FR19" s="194" t="s">
        <v>701</v>
      </c>
      <c r="FS19" s="194" t="s">
        <v>701</v>
      </c>
      <c r="FT19" s="194" t="s">
        <v>701</v>
      </c>
      <c r="FU19" s="194" t="s">
        <v>701</v>
      </c>
      <c r="FV19" s="194" t="s">
        <v>701</v>
      </c>
      <c r="FW19" s="194" t="s">
        <v>701</v>
      </c>
      <c r="FX19" s="194" t="s">
        <v>701</v>
      </c>
      <c r="FY19" s="26" t="s">
        <v>511</v>
      </c>
    </row>
    <row r="20" spans="1:181" ht="16.149999999999999" customHeight="1" thickBot="1" x14ac:dyDescent="0.3">
      <c r="A20" s="186">
        <f>Minták!B13</f>
        <v>9</v>
      </c>
      <c r="B20" s="187"/>
      <c r="C20" s="22" t="str">
        <f>Minták!I13</f>
        <v>KUT</v>
      </c>
      <c r="D20" s="22">
        <f>Minták!J13</f>
        <v>20511827</v>
      </c>
      <c r="E20" s="188" t="s">
        <v>699</v>
      </c>
      <c r="F20" s="22" t="str">
        <f>Minták!L13</f>
        <v>U</v>
      </c>
      <c r="G20" s="189">
        <f>MV!L15</f>
        <v>45300</v>
      </c>
      <c r="H20" s="190">
        <f t="shared" si="0"/>
        <v>2024</v>
      </c>
      <c r="I20" s="190">
        <f t="shared" si="1"/>
        <v>1</v>
      </c>
      <c r="J20" s="1" t="str">
        <f>Minták!O13</f>
        <v>Aqua Szolgáltató Kft. Vizsgáló-laboratórium</v>
      </c>
      <c r="K20" s="25">
        <f>Minták!M13</f>
        <v>21889495</v>
      </c>
      <c r="L20" s="188" t="s">
        <v>699</v>
      </c>
      <c r="M20" s="24" t="str">
        <f>Minták!N13</f>
        <v>NAH-1-1650/2019</v>
      </c>
      <c r="N20" s="385">
        <f>Minták!E13</f>
        <v>45300</v>
      </c>
      <c r="O20" s="385">
        <f t="shared" si="2"/>
        <v>45300</v>
      </c>
      <c r="P20" s="385">
        <f>Minták!AU13</f>
        <v>45324</v>
      </c>
      <c r="Q20" s="22" t="str">
        <f>Minták!P13</f>
        <v>TERV</v>
      </c>
      <c r="R20" s="191" t="str">
        <f>Minták!Q13</f>
        <v>-</v>
      </c>
      <c r="S20" s="188" t="s">
        <v>699</v>
      </c>
      <c r="T20" s="26" t="str">
        <f>Minták!G13</f>
        <v>bNSCFQ</v>
      </c>
      <c r="U20" s="192"/>
      <c r="V20" s="192"/>
      <c r="W20" s="193" t="str">
        <f>Minták!F13</f>
        <v>8018 Mankscvx Msdxtl</v>
      </c>
      <c r="X20" s="25">
        <f>Minták!R13</f>
        <v>2952846557</v>
      </c>
      <c r="Y20" s="188" t="s">
        <v>699</v>
      </c>
      <c r="Z20" s="1" t="str">
        <f>Minták!S13</f>
        <v>na</v>
      </c>
      <c r="AA20" s="25">
        <f>Minták!T13</f>
        <v>21889737</v>
      </c>
      <c r="AB20" s="24" t="str">
        <f>Minták!U13</f>
        <v>NAH-1-1341/2019</v>
      </c>
      <c r="AC20" s="188" t="s">
        <v>699</v>
      </c>
      <c r="AD20" s="26" t="s">
        <v>44</v>
      </c>
      <c r="AE20" s="157" t="str">
        <f>Minták!X13</f>
        <v>-</v>
      </c>
      <c r="AF20" s="26"/>
      <c r="AG20" s="26"/>
      <c r="AH20" s="26"/>
      <c r="AI20" s="194" t="s">
        <v>701</v>
      </c>
      <c r="AJ20" s="194" t="s">
        <v>701</v>
      </c>
      <c r="AK20" s="194" t="s">
        <v>701</v>
      </c>
      <c r="AL20" s="194" t="s">
        <v>701</v>
      </c>
      <c r="AM20" s="194" t="s">
        <v>701</v>
      </c>
      <c r="AN20" s="194" t="s">
        <v>701</v>
      </c>
      <c r="AO20" s="194" t="s">
        <v>701</v>
      </c>
      <c r="AP20" s="194" t="s">
        <v>701</v>
      </c>
      <c r="AQ20" s="194" t="s">
        <v>701</v>
      </c>
      <c r="AR20" s="194" t="s">
        <v>701</v>
      </c>
      <c r="AS20" s="194" t="s">
        <v>701</v>
      </c>
      <c r="AT20" s="194" t="s">
        <v>701</v>
      </c>
      <c r="AU20" s="194" t="s">
        <v>701</v>
      </c>
      <c r="AV20" s="194" t="s">
        <v>701</v>
      </c>
      <c r="AW20" s="194" t="s">
        <v>701</v>
      </c>
      <c r="AX20" s="194" t="s">
        <v>701</v>
      </c>
      <c r="AY20" s="194" t="s">
        <v>701</v>
      </c>
      <c r="AZ20" s="194" t="s">
        <v>701</v>
      </c>
      <c r="BA20" s="195" t="s">
        <v>701</v>
      </c>
      <c r="BB20" s="200">
        <f>IFERROR(IF(LEFT(Minták!BM13,1)="&lt;",Minták!BM13,VALUE(Minták!BM13)),"ures")</f>
        <v>7.0000000000000007E-2</v>
      </c>
      <c r="BC20" s="201">
        <f>IFERROR(IF(LEFT(Minták!BN13,1)="&lt;",Minták!BN13,VALUE(Minták!BN13)),"ures")</f>
        <v>2.2400000000000002</v>
      </c>
      <c r="BD20" s="201">
        <f>IFERROR(IF(LEFT(Minták!BO13,1)="&lt;",Minták!BO13,VALUE(Minták!BO13)),"ures")</f>
        <v>0.08</v>
      </c>
      <c r="BE20" s="201">
        <f>IFERROR(IF(LEFT(Minták!BP13,1)="&lt;",Minták!BP13,VALUE(Minták!BP13)),"ures")</f>
        <v>0.11</v>
      </c>
      <c r="BF20" s="201">
        <f>IFERROR(IF(LEFT(Minták!BQ13,1)="&lt;",Minták!BQ13,VALUE(Minták!BQ13)),"ures")</f>
        <v>0.12</v>
      </c>
      <c r="BG20" s="201">
        <f>IFERROR(IF(LEFT(Minták!BR13,1)="&lt;",Minták!BR13,VALUE(Minták!BR13)),"ures")</f>
        <v>18</v>
      </c>
      <c r="BH20" s="201">
        <f>IFERROR(IF(LEFT(Minták!BS13,1)="&lt;",Minták!BS13,VALUE(Minták!BS13)),"ures")</f>
        <v>0.9</v>
      </c>
      <c r="BI20" s="201">
        <f>IFERROR(IF(LEFT(Minták!BT13,1)="&lt;",Minták!BT13,VALUE(Minták!BT13)),"ures")</f>
        <v>136</v>
      </c>
      <c r="BJ20" s="201">
        <f>IFERROR(IF(LEFT(Minták!BU13,1)="&lt;",Minták!BU13,VALUE(Minták!BU13)),"ures")</f>
        <v>48.6</v>
      </c>
      <c r="BK20" s="201">
        <f>IFERROR(IF(LEFT(Minták!BV13,1)="&lt;",Minták!BV13,VALUE(Minták!BV13)),"ures")</f>
        <v>29.5</v>
      </c>
      <c r="BL20" s="201">
        <f>IFERROR(IF(LEFT(Minták!BW13,1)="&lt;",Minták!BW13,VALUE(Minták!BW13)),"ures")</f>
        <v>3.8</v>
      </c>
      <c r="BM20" s="201">
        <f>IFERROR(IF(LEFT(Minták!BX13,1)="&lt;",Minták!BX13,VALUE(Minták!BX13)),"ures")</f>
        <v>7.18</v>
      </c>
      <c r="BN20" s="201">
        <f>IFERROR(IF(LEFT(Minták!BY13,1)="&lt;",Minták!BY13,VALUE(Minták!BY13)),"ures")</f>
        <v>440</v>
      </c>
      <c r="BO20" s="201">
        <f>IFERROR(IF(LEFT(Minták!BZ13,1)="&lt;",Minták!BZ13,VALUE(Minták!BZ13)),"ures")</f>
        <v>10.8</v>
      </c>
      <c r="BP20" s="201">
        <f>IFERROR(IF(LEFT(Minták!CA13,1)="&lt;",Minták!CA13,VALUE(Minták!CA13)),"ures")</f>
        <v>74</v>
      </c>
      <c r="BQ20" s="201">
        <f>IFERROR(IF(LEFT(Minták!CB13,1)="&lt;",Minták!CB13,VALUE(Minták!CB13)),"ures")</f>
        <v>0.26</v>
      </c>
      <c r="BR20" s="197" t="str">
        <f>IFERROR(Minták!CC13,"ures")</f>
        <v>szintelen</v>
      </c>
      <c r="BS20" s="197" t="str">
        <f>IFERROR(Minták!CD13,"ures")</f>
        <v>szagtalan</v>
      </c>
      <c r="BT20" s="197" t="str">
        <f>IFERROR(Minták!CE13,"ures")</f>
        <v>iztelen</v>
      </c>
      <c r="BU20" s="202">
        <f>IFERROR(IF(LEFT(Minták!CF13,1)="&lt;",Minták!CF13,VALUE(Minták!CF13)),"ures")</f>
        <v>232</v>
      </c>
      <c r="BV20" s="199" t="s">
        <v>701</v>
      </c>
      <c r="BW20" s="194" t="s">
        <v>701</v>
      </c>
      <c r="BX20" s="194" t="s">
        <v>701</v>
      </c>
      <c r="BY20" s="194" t="s">
        <v>701</v>
      </c>
      <c r="BZ20" s="194" t="s">
        <v>701</v>
      </c>
      <c r="CA20" s="194" t="s">
        <v>701</v>
      </c>
      <c r="CB20" s="194" t="s">
        <v>701</v>
      </c>
      <c r="CC20" s="194" t="s">
        <v>701</v>
      </c>
      <c r="CD20" s="194" t="s">
        <v>701</v>
      </c>
      <c r="CE20" s="194" t="s">
        <v>701</v>
      </c>
      <c r="CF20" s="194" t="s">
        <v>701</v>
      </c>
      <c r="CG20" s="194" t="s">
        <v>701</v>
      </c>
      <c r="CH20" s="194" t="s">
        <v>701</v>
      </c>
      <c r="CI20" s="194" t="s">
        <v>701</v>
      </c>
      <c r="CJ20" s="194" t="s">
        <v>701</v>
      </c>
      <c r="CK20" s="194" t="s">
        <v>701</v>
      </c>
      <c r="CL20" s="194" t="s">
        <v>701</v>
      </c>
      <c r="CM20" s="194" t="s">
        <v>701</v>
      </c>
      <c r="CN20" s="194" t="s">
        <v>701</v>
      </c>
      <c r="CO20" s="194" t="s">
        <v>701</v>
      </c>
      <c r="CP20" s="194" t="s">
        <v>701</v>
      </c>
      <c r="CQ20" s="194" t="s">
        <v>701</v>
      </c>
      <c r="CR20" s="194" t="s">
        <v>701</v>
      </c>
      <c r="CS20" s="194" t="s">
        <v>701</v>
      </c>
      <c r="CT20" s="194" t="s">
        <v>701</v>
      </c>
      <c r="CU20" s="194" t="s">
        <v>701</v>
      </c>
      <c r="CV20" s="194" t="s">
        <v>701</v>
      </c>
      <c r="CW20" s="194" t="s">
        <v>701</v>
      </c>
      <c r="CX20" s="194" t="s">
        <v>701</v>
      </c>
      <c r="CY20" s="194" t="s">
        <v>701</v>
      </c>
      <c r="CZ20" s="194" t="s">
        <v>701</v>
      </c>
      <c r="DA20" s="194" t="s">
        <v>701</v>
      </c>
      <c r="DB20" s="194" t="s">
        <v>701</v>
      </c>
      <c r="DC20" s="194" t="s">
        <v>701</v>
      </c>
      <c r="DD20" s="194" t="s">
        <v>701</v>
      </c>
      <c r="DE20" s="194" t="s">
        <v>701</v>
      </c>
      <c r="DF20" s="194" t="s">
        <v>701</v>
      </c>
      <c r="DG20" s="194" t="s">
        <v>701</v>
      </c>
      <c r="DH20" s="194" t="s">
        <v>701</v>
      </c>
      <c r="DI20" s="194" t="s">
        <v>701</v>
      </c>
      <c r="DJ20" s="194" t="s">
        <v>701</v>
      </c>
      <c r="DK20" s="194" t="s">
        <v>701</v>
      </c>
      <c r="DL20" s="194" t="s">
        <v>701</v>
      </c>
      <c r="DM20" s="194" t="s">
        <v>701</v>
      </c>
      <c r="DN20" s="194" t="s">
        <v>701</v>
      </c>
      <c r="DO20" s="194" t="s">
        <v>701</v>
      </c>
      <c r="DP20" s="194" t="s">
        <v>701</v>
      </c>
      <c r="DQ20" s="194" t="s">
        <v>701</v>
      </c>
      <c r="DR20" s="194" t="s">
        <v>701</v>
      </c>
      <c r="DS20" s="194" t="s">
        <v>701</v>
      </c>
      <c r="DT20" s="194" t="s">
        <v>701</v>
      </c>
      <c r="DU20" s="194" t="s">
        <v>701</v>
      </c>
      <c r="DV20" s="194" t="s">
        <v>701</v>
      </c>
      <c r="DW20" s="194" t="s">
        <v>701</v>
      </c>
      <c r="DX20" s="194" t="s">
        <v>701</v>
      </c>
      <c r="DY20" s="194" t="s">
        <v>701</v>
      </c>
      <c r="DZ20" s="194" t="s">
        <v>701</v>
      </c>
      <c r="EA20" s="194" t="s">
        <v>701</v>
      </c>
      <c r="EB20" s="194" t="s">
        <v>701</v>
      </c>
      <c r="EC20" s="194" t="s">
        <v>701</v>
      </c>
      <c r="ED20" s="194" t="s">
        <v>701</v>
      </c>
      <c r="EE20" s="194" t="s">
        <v>701</v>
      </c>
      <c r="EF20" s="194" t="s">
        <v>701</v>
      </c>
      <c r="EG20" s="194" t="s">
        <v>701</v>
      </c>
      <c r="EH20" s="194" t="s">
        <v>701</v>
      </c>
      <c r="EI20" s="194" t="s">
        <v>701</v>
      </c>
      <c r="EJ20" s="194" t="s">
        <v>701</v>
      </c>
      <c r="EK20" s="194" t="s">
        <v>701</v>
      </c>
      <c r="EL20" s="194" t="s">
        <v>701</v>
      </c>
      <c r="EM20" s="194" t="s">
        <v>701</v>
      </c>
      <c r="EN20" s="194" t="s">
        <v>701</v>
      </c>
      <c r="EO20" s="194" t="s">
        <v>701</v>
      </c>
      <c r="EP20" s="194" t="s">
        <v>701</v>
      </c>
      <c r="EQ20" s="194" t="s">
        <v>701</v>
      </c>
      <c r="ER20" s="194" t="s">
        <v>701</v>
      </c>
      <c r="ES20" s="194" t="s">
        <v>701</v>
      </c>
      <c r="ET20" s="194" t="s">
        <v>701</v>
      </c>
      <c r="EU20" s="194" t="s">
        <v>701</v>
      </c>
      <c r="EV20" s="194" t="s">
        <v>701</v>
      </c>
      <c r="EW20" s="194" t="s">
        <v>701</v>
      </c>
      <c r="EX20" s="194" t="s">
        <v>701</v>
      </c>
      <c r="EY20" s="194" t="s">
        <v>701</v>
      </c>
      <c r="EZ20" s="194" t="s">
        <v>701</v>
      </c>
      <c r="FA20" s="194" t="s">
        <v>701</v>
      </c>
      <c r="FB20" s="194" t="s">
        <v>701</v>
      </c>
      <c r="FC20" s="194" t="s">
        <v>701</v>
      </c>
      <c r="FD20" s="194" t="s">
        <v>701</v>
      </c>
      <c r="FE20" s="194" t="s">
        <v>701</v>
      </c>
      <c r="FF20" s="194" t="s">
        <v>701</v>
      </c>
      <c r="FG20" s="194" t="s">
        <v>701</v>
      </c>
      <c r="FH20" s="194" t="s">
        <v>701</v>
      </c>
      <c r="FI20" s="194" t="s">
        <v>701</v>
      </c>
      <c r="FJ20" s="194" t="s">
        <v>701</v>
      </c>
      <c r="FK20" s="194" t="s">
        <v>701</v>
      </c>
      <c r="FL20" s="194" t="s">
        <v>701</v>
      </c>
      <c r="FM20" s="194" t="s">
        <v>701</v>
      </c>
      <c r="FN20" s="194" t="s">
        <v>701</v>
      </c>
      <c r="FO20" s="194" t="s">
        <v>701</v>
      </c>
      <c r="FP20" s="194" t="s">
        <v>701</v>
      </c>
      <c r="FQ20" s="194" t="s">
        <v>701</v>
      </c>
      <c r="FR20" s="194" t="s">
        <v>701</v>
      </c>
      <c r="FS20" s="194" t="s">
        <v>701</v>
      </c>
      <c r="FT20" s="194" t="s">
        <v>701</v>
      </c>
      <c r="FU20" s="194" t="s">
        <v>701</v>
      </c>
      <c r="FV20" s="194" t="s">
        <v>701</v>
      </c>
      <c r="FW20" s="194" t="s">
        <v>701</v>
      </c>
      <c r="FX20" s="194" t="s">
        <v>701</v>
      </c>
      <c r="FY20" s="26" t="s">
        <v>511</v>
      </c>
    </row>
    <row r="21" spans="1:181" ht="16.149999999999999" customHeight="1" thickBot="1" x14ac:dyDescent="0.3">
      <c r="A21" s="186">
        <f>Minták!B14</f>
        <v>10</v>
      </c>
      <c r="B21" s="187"/>
      <c r="C21" s="22" t="str">
        <f>Minták!I14</f>
        <v>KUT</v>
      </c>
      <c r="D21" s="22">
        <f>Minták!J14</f>
        <v>20511827</v>
      </c>
      <c r="E21" s="188" t="s">
        <v>699</v>
      </c>
      <c r="F21" s="22" t="str">
        <f>Minták!L14</f>
        <v>U</v>
      </c>
      <c r="G21" s="189">
        <f>MV!L16</f>
        <v>45301</v>
      </c>
      <c r="H21" s="190">
        <f t="shared" si="0"/>
        <v>2024</v>
      </c>
      <c r="I21" s="190">
        <f t="shared" si="1"/>
        <v>1</v>
      </c>
      <c r="J21" s="1" t="str">
        <f>Minták!O14</f>
        <v>Aqua Szolgáltató Kft. Vizsgáló-laboratórium</v>
      </c>
      <c r="K21" s="25">
        <f>Minták!M14</f>
        <v>21889495</v>
      </c>
      <c r="L21" s="188" t="s">
        <v>699</v>
      </c>
      <c r="M21" s="24" t="str">
        <f>Minták!N14</f>
        <v>NAH-1-1650/2019</v>
      </c>
      <c r="N21" s="385">
        <f>Minták!E14</f>
        <v>45301</v>
      </c>
      <c r="O21" s="385">
        <f t="shared" si="2"/>
        <v>45301</v>
      </c>
      <c r="P21" s="385">
        <f>Minták!AU14</f>
        <v>45324</v>
      </c>
      <c r="Q21" s="22" t="str">
        <f>Minták!P14</f>
        <v>TERV</v>
      </c>
      <c r="R21" s="191" t="str">
        <f>Minták!Q14</f>
        <v>-</v>
      </c>
      <c r="S21" s="188" t="s">
        <v>699</v>
      </c>
      <c r="T21" s="26" t="str">
        <f>Minták!G14</f>
        <v>bNSCFQ</v>
      </c>
      <c r="U21" s="192"/>
      <c r="V21" s="192"/>
      <c r="W21" s="193" t="str">
        <f>Minták!F14</f>
        <v>7065 Hwcflmoijro Qoldnt</v>
      </c>
      <c r="X21" s="25">
        <f>Minták!R14</f>
        <v>5141069706</v>
      </c>
      <c r="Y21" s="188" t="s">
        <v>699</v>
      </c>
      <c r="Z21" s="1" t="str">
        <f>Minták!S14</f>
        <v>igen</v>
      </c>
      <c r="AA21" s="25">
        <f>Minták!T14</f>
        <v>21884171</v>
      </c>
      <c r="AB21" s="24" t="str">
        <f>Minták!U14</f>
        <v>NAH-1-1226/2021</v>
      </c>
      <c r="AC21" s="188" t="s">
        <v>699</v>
      </c>
      <c r="AD21" s="26" t="s">
        <v>44</v>
      </c>
      <c r="AE21" s="157" t="str">
        <f>Minták!X14</f>
        <v>-</v>
      </c>
      <c r="AF21" s="26"/>
      <c r="AG21" s="26"/>
      <c r="AH21" s="26"/>
      <c r="AI21" s="194" t="s">
        <v>701</v>
      </c>
      <c r="AJ21" s="194" t="s">
        <v>701</v>
      </c>
      <c r="AK21" s="194" t="s">
        <v>701</v>
      </c>
      <c r="AL21" s="194" t="s">
        <v>701</v>
      </c>
      <c r="AM21" s="194" t="s">
        <v>701</v>
      </c>
      <c r="AN21" s="194" t="s">
        <v>701</v>
      </c>
      <c r="AO21" s="194" t="s">
        <v>701</v>
      </c>
      <c r="AP21" s="194" t="s">
        <v>701</v>
      </c>
      <c r="AQ21" s="194" t="s">
        <v>701</v>
      </c>
      <c r="AR21" s="194" t="s">
        <v>701</v>
      </c>
      <c r="AS21" s="194" t="s">
        <v>701</v>
      </c>
      <c r="AT21" s="194" t="s">
        <v>701</v>
      </c>
      <c r="AU21" s="194" t="s">
        <v>701</v>
      </c>
      <c r="AV21" s="194" t="s">
        <v>701</v>
      </c>
      <c r="AW21" s="194" t="s">
        <v>701</v>
      </c>
      <c r="AX21" s="194" t="s">
        <v>701</v>
      </c>
      <c r="AY21" s="194" t="s">
        <v>701</v>
      </c>
      <c r="AZ21" s="194" t="s">
        <v>701</v>
      </c>
      <c r="BA21" s="195" t="s">
        <v>701</v>
      </c>
      <c r="BB21" s="200">
        <f>IFERROR(IF(LEFT(Minták!BM14,1)="&lt;",Minták!BM14,VALUE(Minták!BM14)),"ures")</f>
        <v>0.08</v>
      </c>
      <c r="BC21" s="201">
        <f>IFERROR(IF(LEFT(Minták!BN14,1)="&lt;",Minták!BN14,VALUE(Minták!BN14)),"ures")</f>
        <v>2.4900000000000002</v>
      </c>
      <c r="BD21" s="201">
        <f>IFERROR(IF(LEFT(Minták!BO14,1)="&lt;",Minták!BO14,VALUE(Minták!BO14)),"ures")</f>
        <v>0.09</v>
      </c>
      <c r="BE21" s="201">
        <f>IFERROR(IF(LEFT(Minták!BP14,1)="&lt;",Minták!BP14,VALUE(Minták!BP14)),"ures")</f>
        <v>0.12</v>
      </c>
      <c r="BF21" s="201">
        <f>IFERROR(IF(LEFT(Minták!BQ14,1)="&lt;",Minták!BQ14,VALUE(Minták!BQ14)),"ures")</f>
        <v>0.13</v>
      </c>
      <c r="BG21" s="201">
        <f>IFERROR(IF(LEFT(Minták!BR14,1)="&lt;",Minták!BR14,VALUE(Minták!BR14)),"ures")</f>
        <v>19</v>
      </c>
      <c r="BH21" s="201">
        <f>IFERROR(IF(LEFT(Minták!BS14,1)="&lt;",Minták!BS14,VALUE(Minták!BS14)),"ures")</f>
        <v>1</v>
      </c>
      <c r="BI21" s="201">
        <f>IFERROR(IF(LEFT(Minták!BT14,1)="&lt;",Minták!BT14,VALUE(Minták!BT14)),"ures")</f>
        <v>138</v>
      </c>
      <c r="BJ21" s="201">
        <f>IFERROR(IF(LEFT(Minták!BU14,1)="&lt;",Minták!BU14,VALUE(Minták!BU14)),"ures")</f>
        <v>49.3</v>
      </c>
      <c r="BK21" s="201">
        <f>IFERROR(IF(LEFT(Minták!BV14,1)="&lt;",Minták!BV14,VALUE(Minták!BV14)),"ures")</f>
        <v>29.9</v>
      </c>
      <c r="BL21" s="201">
        <f>IFERROR(IF(LEFT(Minták!BW14,1)="&lt;",Minták!BW14,VALUE(Minták!BW14)),"ures")</f>
        <v>3.9</v>
      </c>
      <c r="BM21" s="201">
        <f>IFERROR(IF(LEFT(Minták!BX14,1)="&lt;",Minták!BX14,VALUE(Minták!BX14)),"ures")</f>
        <v>7.2</v>
      </c>
      <c r="BN21" s="201">
        <f>IFERROR(IF(LEFT(Minták!BY14,1)="&lt;",Minták!BY14,VALUE(Minták!BY14)),"ures")</f>
        <v>445</v>
      </c>
      <c r="BO21" s="201">
        <f>IFERROR(IF(LEFT(Minták!BZ14,1)="&lt;",Minták!BZ14,VALUE(Minták!BZ14)),"ures")</f>
        <v>10.9</v>
      </c>
      <c r="BP21" s="201">
        <f>IFERROR(IF(LEFT(Minták!CA14,1)="&lt;",Minták!CA14,VALUE(Minták!CA14)),"ures")</f>
        <v>82</v>
      </c>
      <c r="BQ21" s="201">
        <f>IFERROR(IF(LEFT(Minták!CB14,1)="&lt;",Minták!CB14,VALUE(Minták!CB14)),"ures")</f>
        <v>0.28000000000000003</v>
      </c>
      <c r="BR21" s="197" t="str">
        <f>IFERROR(Minták!CC14,"ures")</f>
        <v>szintelen</v>
      </c>
      <c r="BS21" s="197" t="str">
        <f>IFERROR(Minták!CD14,"ures")</f>
        <v>szagtalan</v>
      </c>
      <c r="BT21" s="197" t="str">
        <f>IFERROR(Minták!CE14,"ures")</f>
        <v>iztelen</v>
      </c>
      <c r="BU21" s="202">
        <f>IFERROR(IF(LEFT(Minták!CF14,1)="&lt;",Minták!CF14,VALUE(Minták!CF14)),"ures")</f>
        <v>238</v>
      </c>
      <c r="BV21" s="199" t="s">
        <v>701</v>
      </c>
      <c r="BW21" s="194" t="s">
        <v>701</v>
      </c>
      <c r="BX21" s="194" t="s">
        <v>701</v>
      </c>
      <c r="BY21" s="194" t="s">
        <v>701</v>
      </c>
      <c r="BZ21" s="194" t="s">
        <v>701</v>
      </c>
      <c r="CA21" s="194" t="s">
        <v>701</v>
      </c>
      <c r="CB21" s="194" t="s">
        <v>701</v>
      </c>
      <c r="CC21" s="194" t="s">
        <v>701</v>
      </c>
      <c r="CD21" s="194" t="s">
        <v>701</v>
      </c>
      <c r="CE21" s="194" t="s">
        <v>701</v>
      </c>
      <c r="CF21" s="194" t="s">
        <v>701</v>
      </c>
      <c r="CG21" s="194" t="s">
        <v>701</v>
      </c>
      <c r="CH21" s="194" t="s">
        <v>701</v>
      </c>
      <c r="CI21" s="194" t="s">
        <v>701</v>
      </c>
      <c r="CJ21" s="194" t="s">
        <v>701</v>
      </c>
      <c r="CK21" s="194" t="s">
        <v>701</v>
      </c>
      <c r="CL21" s="194" t="s">
        <v>701</v>
      </c>
      <c r="CM21" s="194" t="s">
        <v>701</v>
      </c>
      <c r="CN21" s="194" t="s">
        <v>701</v>
      </c>
      <c r="CO21" s="194" t="s">
        <v>701</v>
      </c>
      <c r="CP21" s="194" t="s">
        <v>701</v>
      </c>
      <c r="CQ21" s="194" t="s">
        <v>701</v>
      </c>
      <c r="CR21" s="194" t="s">
        <v>701</v>
      </c>
      <c r="CS21" s="194" t="s">
        <v>701</v>
      </c>
      <c r="CT21" s="194" t="s">
        <v>701</v>
      </c>
      <c r="CU21" s="194" t="s">
        <v>701</v>
      </c>
      <c r="CV21" s="194" t="s">
        <v>701</v>
      </c>
      <c r="CW21" s="194" t="s">
        <v>701</v>
      </c>
      <c r="CX21" s="194" t="s">
        <v>701</v>
      </c>
      <c r="CY21" s="194" t="s">
        <v>701</v>
      </c>
      <c r="CZ21" s="194" t="s">
        <v>701</v>
      </c>
      <c r="DA21" s="194" t="s">
        <v>701</v>
      </c>
      <c r="DB21" s="194" t="s">
        <v>701</v>
      </c>
      <c r="DC21" s="194" t="s">
        <v>701</v>
      </c>
      <c r="DD21" s="194" t="s">
        <v>701</v>
      </c>
      <c r="DE21" s="194" t="s">
        <v>701</v>
      </c>
      <c r="DF21" s="194" t="s">
        <v>701</v>
      </c>
      <c r="DG21" s="194" t="s">
        <v>701</v>
      </c>
      <c r="DH21" s="194" t="s">
        <v>701</v>
      </c>
      <c r="DI21" s="194" t="s">
        <v>701</v>
      </c>
      <c r="DJ21" s="194" t="s">
        <v>701</v>
      </c>
      <c r="DK21" s="194" t="s">
        <v>701</v>
      </c>
      <c r="DL21" s="194" t="s">
        <v>701</v>
      </c>
      <c r="DM21" s="194" t="s">
        <v>701</v>
      </c>
      <c r="DN21" s="194" t="s">
        <v>701</v>
      </c>
      <c r="DO21" s="194" t="s">
        <v>701</v>
      </c>
      <c r="DP21" s="194" t="s">
        <v>701</v>
      </c>
      <c r="DQ21" s="194" t="s">
        <v>701</v>
      </c>
      <c r="DR21" s="194" t="s">
        <v>701</v>
      </c>
      <c r="DS21" s="194" t="s">
        <v>701</v>
      </c>
      <c r="DT21" s="194" t="s">
        <v>701</v>
      </c>
      <c r="DU21" s="194" t="s">
        <v>701</v>
      </c>
      <c r="DV21" s="194" t="s">
        <v>701</v>
      </c>
      <c r="DW21" s="194" t="s">
        <v>701</v>
      </c>
      <c r="DX21" s="194" t="s">
        <v>701</v>
      </c>
      <c r="DY21" s="194" t="s">
        <v>701</v>
      </c>
      <c r="DZ21" s="194" t="s">
        <v>701</v>
      </c>
      <c r="EA21" s="194" t="s">
        <v>701</v>
      </c>
      <c r="EB21" s="194" t="s">
        <v>701</v>
      </c>
      <c r="EC21" s="194" t="s">
        <v>701</v>
      </c>
      <c r="ED21" s="194" t="s">
        <v>701</v>
      </c>
      <c r="EE21" s="194" t="s">
        <v>701</v>
      </c>
      <c r="EF21" s="194" t="s">
        <v>701</v>
      </c>
      <c r="EG21" s="194" t="s">
        <v>701</v>
      </c>
      <c r="EH21" s="194" t="s">
        <v>701</v>
      </c>
      <c r="EI21" s="194" t="s">
        <v>701</v>
      </c>
      <c r="EJ21" s="194" t="s">
        <v>701</v>
      </c>
      <c r="EK21" s="194" t="s">
        <v>701</v>
      </c>
      <c r="EL21" s="194" t="s">
        <v>701</v>
      </c>
      <c r="EM21" s="194" t="s">
        <v>701</v>
      </c>
      <c r="EN21" s="194" t="s">
        <v>701</v>
      </c>
      <c r="EO21" s="194" t="s">
        <v>701</v>
      </c>
      <c r="EP21" s="194" t="s">
        <v>701</v>
      </c>
      <c r="EQ21" s="194" t="s">
        <v>701</v>
      </c>
      <c r="ER21" s="194" t="s">
        <v>701</v>
      </c>
      <c r="ES21" s="194" t="s">
        <v>701</v>
      </c>
      <c r="ET21" s="194" t="s">
        <v>701</v>
      </c>
      <c r="EU21" s="194" t="s">
        <v>701</v>
      </c>
      <c r="EV21" s="194" t="s">
        <v>701</v>
      </c>
      <c r="EW21" s="194" t="s">
        <v>701</v>
      </c>
      <c r="EX21" s="194" t="s">
        <v>701</v>
      </c>
      <c r="EY21" s="194" t="s">
        <v>701</v>
      </c>
      <c r="EZ21" s="194" t="s">
        <v>701</v>
      </c>
      <c r="FA21" s="194" t="s">
        <v>701</v>
      </c>
      <c r="FB21" s="194" t="s">
        <v>701</v>
      </c>
      <c r="FC21" s="194" t="s">
        <v>701</v>
      </c>
      <c r="FD21" s="194" t="s">
        <v>701</v>
      </c>
      <c r="FE21" s="194" t="s">
        <v>701</v>
      </c>
      <c r="FF21" s="194" t="s">
        <v>701</v>
      </c>
      <c r="FG21" s="194" t="s">
        <v>701</v>
      </c>
      <c r="FH21" s="194" t="s">
        <v>701</v>
      </c>
      <c r="FI21" s="194" t="s">
        <v>701</v>
      </c>
      <c r="FJ21" s="194" t="s">
        <v>701</v>
      </c>
      <c r="FK21" s="194" t="s">
        <v>701</v>
      </c>
      <c r="FL21" s="194" t="s">
        <v>701</v>
      </c>
      <c r="FM21" s="194" t="s">
        <v>701</v>
      </c>
      <c r="FN21" s="194" t="s">
        <v>701</v>
      </c>
      <c r="FO21" s="194" t="s">
        <v>701</v>
      </c>
      <c r="FP21" s="194" t="s">
        <v>701</v>
      </c>
      <c r="FQ21" s="194" t="s">
        <v>701</v>
      </c>
      <c r="FR21" s="194" t="s">
        <v>701</v>
      </c>
      <c r="FS21" s="194" t="s">
        <v>701</v>
      </c>
      <c r="FT21" s="194" t="s">
        <v>701</v>
      </c>
      <c r="FU21" s="194" t="s">
        <v>701</v>
      </c>
      <c r="FV21" s="194" t="s">
        <v>701</v>
      </c>
      <c r="FW21" s="194" t="s">
        <v>701</v>
      </c>
      <c r="FX21" s="194" t="s">
        <v>701</v>
      </c>
      <c r="FY21" s="26" t="s">
        <v>511</v>
      </c>
    </row>
    <row r="22" spans="1:181" ht="16.149999999999999" customHeight="1" thickBot="1" x14ac:dyDescent="0.3">
      <c r="A22" s="186">
        <f>Minták!B15</f>
        <v>11</v>
      </c>
      <c r="B22" s="187"/>
      <c r="C22" s="22" t="str">
        <f>Minták!I15</f>
        <v>KUT</v>
      </c>
      <c r="D22" s="22">
        <f>Minták!J15</f>
        <v>20511827</v>
      </c>
      <c r="E22" s="188" t="s">
        <v>699</v>
      </c>
      <c r="F22" s="22" t="str">
        <f>Minták!L15</f>
        <v>U</v>
      </c>
      <c r="G22" s="189">
        <f>MV!L17</f>
        <v>45302</v>
      </c>
      <c r="H22" s="190">
        <f t="shared" si="0"/>
        <v>2024</v>
      </c>
      <c r="I22" s="190">
        <f t="shared" si="1"/>
        <v>1</v>
      </c>
      <c r="J22" s="1" t="str">
        <f>Minták!O15</f>
        <v>Aqua Szolgáltató Kft. Vizsgáló-laboratórium</v>
      </c>
      <c r="K22" s="25">
        <f>Minták!M15</f>
        <v>21889495</v>
      </c>
      <c r="L22" s="188" t="s">
        <v>699</v>
      </c>
      <c r="M22" s="24" t="str">
        <f>Minták!N15</f>
        <v>NAH-1-1650/2019</v>
      </c>
      <c r="N22" s="385">
        <f>Minták!E15</f>
        <v>45302</v>
      </c>
      <c r="O22" s="385">
        <f t="shared" si="2"/>
        <v>45302</v>
      </c>
      <c r="P22" s="385">
        <f>Minták!AU15</f>
        <v>45324</v>
      </c>
      <c r="Q22" s="22" t="str">
        <f>Minták!P15</f>
        <v>TERV</v>
      </c>
      <c r="R22" s="191" t="str">
        <f>Minták!Q15</f>
        <v>-</v>
      </c>
      <c r="S22" s="188" t="s">
        <v>699</v>
      </c>
      <c r="T22" s="26" t="str">
        <f>Minták!G15</f>
        <v>bNSCFQ</v>
      </c>
      <c r="U22" s="192"/>
      <c r="V22" s="192"/>
      <c r="W22" s="193" t="str">
        <f>Minták!F15</f>
        <v>7136 Uovbwbhi Qnvptf</v>
      </c>
      <c r="X22" s="25">
        <f>Minták!R15</f>
        <v>5977299521</v>
      </c>
      <c r="Y22" s="188" t="s">
        <v>699</v>
      </c>
      <c r="Z22" s="1" t="str">
        <f>Minták!S15</f>
        <v>nem</v>
      </c>
      <c r="AA22" s="25" t="str">
        <f>Minták!T15</f>
        <v>Megrendelő</v>
      </c>
      <c r="AB22" s="24" t="str">
        <f>Minták!U15</f>
        <v>na</v>
      </c>
      <c r="AC22" s="188" t="s">
        <v>699</v>
      </c>
      <c r="AD22" s="26" t="s">
        <v>44</v>
      </c>
      <c r="AE22" s="157" t="str">
        <f>Minták!X15</f>
        <v>-</v>
      </c>
      <c r="AF22" s="26"/>
      <c r="AG22" s="26"/>
      <c r="AH22" s="26"/>
      <c r="AI22" s="194" t="s">
        <v>701</v>
      </c>
      <c r="AJ22" s="194" t="s">
        <v>701</v>
      </c>
      <c r="AK22" s="194" t="s">
        <v>701</v>
      </c>
      <c r="AL22" s="194" t="s">
        <v>701</v>
      </c>
      <c r="AM22" s="194" t="s">
        <v>701</v>
      </c>
      <c r="AN22" s="194" t="s">
        <v>701</v>
      </c>
      <c r="AO22" s="194" t="s">
        <v>701</v>
      </c>
      <c r="AP22" s="194" t="s">
        <v>701</v>
      </c>
      <c r="AQ22" s="194" t="s">
        <v>701</v>
      </c>
      <c r="AR22" s="194" t="s">
        <v>701</v>
      </c>
      <c r="AS22" s="194" t="s">
        <v>701</v>
      </c>
      <c r="AT22" s="194" t="s">
        <v>701</v>
      </c>
      <c r="AU22" s="194" t="s">
        <v>701</v>
      </c>
      <c r="AV22" s="194" t="s">
        <v>701</v>
      </c>
      <c r="AW22" s="194" t="s">
        <v>701</v>
      </c>
      <c r="AX22" s="194" t="s">
        <v>701</v>
      </c>
      <c r="AY22" s="194" t="s">
        <v>701</v>
      </c>
      <c r="AZ22" s="194" t="s">
        <v>701</v>
      </c>
      <c r="BA22" s="195" t="s">
        <v>701</v>
      </c>
      <c r="BB22" s="200">
        <f>IFERROR(IF(LEFT(Minták!BM15,1)="&lt;",Minták!BM15,VALUE(Minták!BM15)),"ures")</f>
        <v>0.09</v>
      </c>
      <c r="BC22" s="201">
        <f>IFERROR(IF(LEFT(Minták!BN15,1)="&lt;",Minták!BN15,VALUE(Minták!BN15)),"ures")</f>
        <v>2.74</v>
      </c>
      <c r="BD22" s="201">
        <f>IFERROR(IF(LEFT(Minták!BO15,1)="&lt;",Minták!BO15,VALUE(Minták!BO15)),"ures")</f>
        <v>0.1</v>
      </c>
      <c r="BE22" s="201">
        <f>IFERROR(IF(LEFT(Minták!BP15,1)="&lt;",Minták!BP15,VALUE(Minták!BP15)),"ures")</f>
        <v>0.13</v>
      </c>
      <c r="BF22" s="201">
        <f>IFERROR(IF(LEFT(Minták!BQ15,1)="&lt;",Minták!BQ15,VALUE(Minták!BQ15)),"ures")</f>
        <v>0.15</v>
      </c>
      <c r="BG22" s="201">
        <f>IFERROR(IF(LEFT(Minták!BR15,1)="&lt;",Minták!BR15,VALUE(Minták!BR15)),"ures")</f>
        <v>20</v>
      </c>
      <c r="BH22" s="201">
        <f>IFERROR(IF(LEFT(Minták!BS15,1)="&lt;",Minták!BS15,VALUE(Minták!BS15)),"ures")</f>
        <v>1.1000000000000001</v>
      </c>
      <c r="BI22" s="201">
        <f>IFERROR(IF(LEFT(Minták!BT15,1)="&lt;",Minták!BT15,VALUE(Minták!BT15)),"ures")</f>
        <v>140</v>
      </c>
      <c r="BJ22" s="201">
        <f>IFERROR(IF(LEFT(Minták!BU15,1)="&lt;",Minták!BU15,VALUE(Minták!BU15)),"ures")</f>
        <v>50</v>
      </c>
      <c r="BK22" s="201">
        <f>IFERROR(IF(LEFT(Minták!BV15,1)="&lt;",Minták!BV15,VALUE(Minták!BV15)),"ures")</f>
        <v>30.3</v>
      </c>
      <c r="BL22" s="201">
        <f>IFERROR(IF(LEFT(Minták!BW15,1)="&lt;",Minták!BW15,VALUE(Minták!BW15)),"ures")</f>
        <v>4</v>
      </c>
      <c r="BM22" s="201">
        <f>IFERROR(IF(LEFT(Minták!BX15,1)="&lt;",Minták!BX15,VALUE(Minták!BX15)),"ures")</f>
        <v>7.22</v>
      </c>
      <c r="BN22" s="201">
        <f>IFERROR(IF(LEFT(Minták!BY15,1)="&lt;",Minták!BY15,VALUE(Minták!BY15)),"ures")</f>
        <v>450</v>
      </c>
      <c r="BO22" s="201">
        <f>IFERROR(IF(LEFT(Minták!BZ15,1)="&lt;",Minták!BZ15,VALUE(Minták!BZ15)),"ures")</f>
        <v>11</v>
      </c>
      <c r="BP22" s="201">
        <f>IFERROR(IF(LEFT(Minták!CA15,1)="&lt;",Minták!CA15,VALUE(Minták!CA15)),"ures")</f>
        <v>91</v>
      </c>
      <c r="BQ22" s="201">
        <f>IFERROR(IF(LEFT(Minták!CB15,1)="&lt;",Minták!CB15,VALUE(Minták!CB15)),"ures")</f>
        <v>0.3</v>
      </c>
      <c r="BR22" s="197" t="str">
        <f>IFERROR(Minták!CC15,"ures")</f>
        <v>szintelen</v>
      </c>
      <c r="BS22" s="197" t="str">
        <f>IFERROR(Minták!CD15,"ures")</f>
        <v>szagtalan</v>
      </c>
      <c r="BT22" s="197" t="str">
        <f>IFERROR(Minták!CE15,"ures")</f>
        <v>iztelen</v>
      </c>
      <c r="BU22" s="202">
        <f>IFERROR(IF(LEFT(Minták!CF15,1)="&lt;",Minták!CF15,VALUE(Minták!CF15)),"ures")</f>
        <v>244</v>
      </c>
      <c r="BV22" s="199" t="s">
        <v>701</v>
      </c>
      <c r="BW22" s="194" t="s">
        <v>701</v>
      </c>
      <c r="BX22" s="194" t="s">
        <v>701</v>
      </c>
      <c r="BY22" s="194" t="s">
        <v>701</v>
      </c>
      <c r="BZ22" s="194" t="s">
        <v>701</v>
      </c>
      <c r="CA22" s="194" t="s">
        <v>701</v>
      </c>
      <c r="CB22" s="194" t="s">
        <v>701</v>
      </c>
      <c r="CC22" s="194" t="s">
        <v>701</v>
      </c>
      <c r="CD22" s="194" t="s">
        <v>701</v>
      </c>
      <c r="CE22" s="194" t="s">
        <v>701</v>
      </c>
      <c r="CF22" s="194" t="s">
        <v>701</v>
      </c>
      <c r="CG22" s="194" t="s">
        <v>701</v>
      </c>
      <c r="CH22" s="194" t="s">
        <v>701</v>
      </c>
      <c r="CI22" s="194" t="s">
        <v>701</v>
      </c>
      <c r="CJ22" s="194" t="s">
        <v>701</v>
      </c>
      <c r="CK22" s="194" t="s">
        <v>701</v>
      </c>
      <c r="CL22" s="194" t="s">
        <v>701</v>
      </c>
      <c r="CM22" s="194" t="s">
        <v>701</v>
      </c>
      <c r="CN22" s="194" t="s">
        <v>701</v>
      </c>
      <c r="CO22" s="194" t="s">
        <v>701</v>
      </c>
      <c r="CP22" s="194" t="s">
        <v>701</v>
      </c>
      <c r="CQ22" s="194" t="s">
        <v>701</v>
      </c>
      <c r="CR22" s="194" t="s">
        <v>701</v>
      </c>
      <c r="CS22" s="194" t="s">
        <v>701</v>
      </c>
      <c r="CT22" s="194" t="s">
        <v>701</v>
      </c>
      <c r="CU22" s="194" t="s">
        <v>701</v>
      </c>
      <c r="CV22" s="194" t="s">
        <v>701</v>
      </c>
      <c r="CW22" s="194" t="s">
        <v>701</v>
      </c>
      <c r="CX22" s="194" t="s">
        <v>701</v>
      </c>
      <c r="CY22" s="194" t="s">
        <v>701</v>
      </c>
      <c r="CZ22" s="194" t="s">
        <v>701</v>
      </c>
      <c r="DA22" s="194" t="s">
        <v>701</v>
      </c>
      <c r="DB22" s="194" t="s">
        <v>701</v>
      </c>
      <c r="DC22" s="194" t="s">
        <v>701</v>
      </c>
      <c r="DD22" s="194" t="s">
        <v>701</v>
      </c>
      <c r="DE22" s="194" t="s">
        <v>701</v>
      </c>
      <c r="DF22" s="194" t="s">
        <v>701</v>
      </c>
      <c r="DG22" s="194" t="s">
        <v>701</v>
      </c>
      <c r="DH22" s="194" t="s">
        <v>701</v>
      </c>
      <c r="DI22" s="194" t="s">
        <v>701</v>
      </c>
      <c r="DJ22" s="194" t="s">
        <v>701</v>
      </c>
      <c r="DK22" s="194" t="s">
        <v>701</v>
      </c>
      <c r="DL22" s="194" t="s">
        <v>701</v>
      </c>
      <c r="DM22" s="194" t="s">
        <v>701</v>
      </c>
      <c r="DN22" s="194" t="s">
        <v>701</v>
      </c>
      <c r="DO22" s="194" t="s">
        <v>701</v>
      </c>
      <c r="DP22" s="194" t="s">
        <v>701</v>
      </c>
      <c r="DQ22" s="194" t="s">
        <v>701</v>
      </c>
      <c r="DR22" s="194" t="s">
        <v>701</v>
      </c>
      <c r="DS22" s="194" t="s">
        <v>701</v>
      </c>
      <c r="DT22" s="194" t="s">
        <v>701</v>
      </c>
      <c r="DU22" s="194" t="s">
        <v>701</v>
      </c>
      <c r="DV22" s="194" t="s">
        <v>701</v>
      </c>
      <c r="DW22" s="194" t="s">
        <v>701</v>
      </c>
      <c r="DX22" s="194" t="s">
        <v>701</v>
      </c>
      <c r="DY22" s="194" t="s">
        <v>701</v>
      </c>
      <c r="DZ22" s="194" t="s">
        <v>701</v>
      </c>
      <c r="EA22" s="194" t="s">
        <v>701</v>
      </c>
      <c r="EB22" s="194" t="s">
        <v>701</v>
      </c>
      <c r="EC22" s="194" t="s">
        <v>701</v>
      </c>
      <c r="ED22" s="194" t="s">
        <v>701</v>
      </c>
      <c r="EE22" s="194" t="s">
        <v>701</v>
      </c>
      <c r="EF22" s="194" t="s">
        <v>701</v>
      </c>
      <c r="EG22" s="194" t="s">
        <v>701</v>
      </c>
      <c r="EH22" s="194" t="s">
        <v>701</v>
      </c>
      <c r="EI22" s="194" t="s">
        <v>701</v>
      </c>
      <c r="EJ22" s="194" t="s">
        <v>701</v>
      </c>
      <c r="EK22" s="194" t="s">
        <v>701</v>
      </c>
      <c r="EL22" s="194" t="s">
        <v>701</v>
      </c>
      <c r="EM22" s="194" t="s">
        <v>701</v>
      </c>
      <c r="EN22" s="194" t="s">
        <v>701</v>
      </c>
      <c r="EO22" s="194" t="s">
        <v>701</v>
      </c>
      <c r="EP22" s="194" t="s">
        <v>701</v>
      </c>
      <c r="EQ22" s="194" t="s">
        <v>701</v>
      </c>
      <c r="ER22" s="194" t="s">
        <v>701</v>
      </c>
      <c r="ES22" s="194" t="s">
        <v>701</v>
      </c>
      <c r="ET22" s="194" t="s">
        <v>701</v>
      </c>
      <c r="EU22" s="194" t="s">
        <v>701</v>
      </c>
      <c r="EV22" s="194" t="s">
        <v>701</v>
      </c>
      <c r="EW22" s="194" t="s">
        <v>701</v>
      </c>
      <c r="EX22" s="194" t="s">
        <v>701</v>
      </c>
      <c r="EY22" s="194" t="s">
        <v>701</v>
      </c>
      <c r="EZ22" s="194" t="s">
        <v>701</v>
      </c>
      <c r="FA22" s="194" t="s">
        <v>701</v>
      </c>
      <c r="FB22" s="194" t="s">
        <v>701</v>
      </c>
      <c r="FC22" s="194" t="s">
        <v>701</v>
      </c>
      <c r="FD22" s="194" t="s">
        <v>701</v>
      </c>
      <c r="FE22" s="194" t="s">
        <v>701</v>
      </c>
      <c r="FF22" s="194" t="s">
        <v>701</v>
      </c>
      <c r="FG22" s="194" t="s">
        <v>701</v>
      </c>
      <c r="FH22" s="194" t="s">
        <v>701</v>
      </c>
      <c r="FI22" s="194" t="s">
        <v>701</v>
      </c>
      <c r="FJ22" s="194" t="s">
        <v>701</v>
      </c>
      <c r="FK22" s="194" t="s">
        <v>701</v>
      </c>
      <c r="FL22" s="194" t="s">
        <v>701</v>
      </c>
      <c r="FM22" s="194" t="s">
        <v>701</v>
      </c>
      <c r="FN22" s="194" t="s">
        <v>701</v>
      </c>
      <c r="FO22" s="194" t="s">
        <v>701</v>
      </c>
      <c r="FP22" s="194" t="s">
        <v>701</v>
      </c>
      <c r="FQ22" s="194" t="s">
        <v>701</v>
      </c>
      <c r="FR22" s="194" t="s">
        <v>701</v>
      </c>
      <c r="FS22" s="194" t="s">
        <v>701</v>
      </c>
      <c r="FT22" s="194" t="s">
        <v>701</v>
      </c>
      <c r="FU22" s="194" t="s">
        <v>701</v>
      </c>
      <c r="FV22" s="194" t="s">
        <v>701</v>
      </c>
      <c r="FW22" s="194" t="s">
        <v>701</v>
      </c>
      <c r="FX22" s="194" t="s">
        <v>701</v>
      </c>
      <c r="FY22" s="26" t="s">
        <v>511</v>
      </c>
    </row>
    <row r="23" spans="1:181" ht="16.149999999999999" customHeight="1" thickBot="1" x14ac:dyDescent="0.3">
      <c r="A23" s="186">
        <f>Minták!B16</f>
        <v>12</v>
      </c>
      <c r="B23" s="187"/>
      <c r="C23" s="22" t="str">
        <f>Minták!I16</f>
        <v>IV</v>
      </c>
      <c r="D23" s="22">
        <f>Minták!J16</f>
        <v>20511827</v>
      </c>
      <c r="E23" s="188" t="s">
        <v>699</v>
      </c>
      <c r="F23" s="22" t="str">
        <f>Minták!L16</f>
        <v>U</v>
      </c>
      <c r="G23" s="189">
        <f>MV!L18</f>
        <v>45303</v>
      </c>
      <c r="H23" s="190">
        <f t="shared" si="0"/>
        <v>2024</v>
      </c>
      <c r="I23" s="190">
        <f t="shared" si="1"/>
        <v>1</v>
      </c>
      <c r="J23" s="1" t="str">
        <f>Minták!O16</f>
        <v>Aqua Szolgáltató Kft. Vizsgáló-laboratórium</v>
      </c>
      <c r="K23" s="25">
        <f>Minták!M16</f>
        <v>21889495</v>
      </c>
      <c r="L23" s="188" t="s">
        <v>699</v>
      </c>
      <c r="M23" s="24" t="str">
        <f>Minták!N16</f>
        <v>NAH-1-1650/2019</v>
      </c>
      <c r="N23" s="385">
        <f>Minták!E16</f>
        <v>45303</v>
      </c>
      <c r="O23" s="385">
        <f t="shared" si="2"/>
        <v>45303</v>
      </c>
      <c r="P23" s="385">
        <f>Minták!AU16</f>
        <v>45324</v>
      </c>
      <c r="Q23" s="22" t="str">
        <f>Minták!P16</f>
        <v>TERV</v>
      </c>
      <c r="R23" s="191" t="str">
        <f>Minták!Q16</f>
        <v>-</v>
      </c>
      <c r="S23" s="188" t="s">
        <v>699</v>
      </c>
      <c r="T23" s="26" t="str">
        <f>Minták!G16</f>
        <v>bNSCFQ</v>
      </c>
      <c r="U23" s="192"/>
      <c r="V23" s="192"/>
      <c r="W23" s="193" t="str">
        <f>Minták!F16</f>
        <v>3176 Swsvfdsfv Lebdoq</v>
      </c>
      <c r="X23" s="25">
        <f>Minták!R16</f>
        <v>3360247752</v>
      </c>
      <c r="Y23" s="188" t="s">
        <v>699</v>
      </c>
      <c r="Z23" s="1" t="str">
        <f>Minták!S16</f>
        <v>na</v>
      </c>
      <c r="AA23" s="25" t="str">
        <f>Minták!T16</f>
        <v>na</v>
      </c>
      <c r="AB23" s="24" t="str">
        <f>Minták!U16</f>
        <v>na</v>
      </c>
      <c r="AC23" s="188" t="s">
        <v>699</v>
      </c>
      <c r="AD23" s="26" t="s">
        <v>44</v>
      </c>
      <c r="AE23" s="157" t="str">
        <f>Minták!X16</f>
        <v>-</v>
      </c>
      <c r="AF23" s="26"/>
      <c r="AG23" s="26"/>
      <c r="AH23" s="26"/>
      <c r="AI23" s="194" t="s">
        <v>701</v>
      </c>
      <c r="AJ23" s="194" t="s">
        <v>701</v>
      </c>
      <c r="AK23" s="194" t="s">
        <v>701</v>
      </c>
      <c r="AL23" s="194" t="s">
        <v>701</v>
      </c>
      <c r="AM23" s="194" t="s">
        <v>701</v>
      </c>
      <c r="AN23" s="194" t="s">
        <v>701</v>
      </c>
      <c r="AO23" s="194" t="s">
        <v>701</v>
      </c>
      <c r="AP23" s="194" t="s">
        <v>701</v>
      </c>
      <c r="AQ23" s="194" t="s">
        <v>701</v>
      </c>
      <c r="AR23" s="194" t="s">
        <v>701</v>
      </c>
      <c r="AS23" s="194" t="s">
        <v>701</v>
      </c>
      <c r="AT23" s="194" t="s">
        <v>701</v>
      </c>
      <c r="AU23" s="194" t="s">
        <v>701</v>
      </c>
      <c r="AV23" s="194" t="s">
        <v>701</v>
      </c>
      <c r="AW23" s="194" t="s">
        <v>701</v>
      </c>
      <c r="AX23" s="194" t="s">
        <v>701</v>
      </c>
      <c r="AY23" s="194" t="s">
        <v>701</v>
      </c>
      <c r="AZ23" s="194" t="s">
        <v>701</v>
      </c>
      <c r="BA23" s="195" t="s">
        <v>701</v>
      </c>
      <c r="BB23" s="200">
        <f>IFERROR(IF(LEFT(Minták!BM16,1)="&lt;",Minták!BM16,VALUE(Minták!BM16)),"ures")</f>
        <v>0.1</v>
      </c>
      <c r="BC23" s="201">
        <f>IFERROR(IF(LEFT(Minták!BN16,1)="&lt;",Minták!BN16,VALUE(Minták!BN16)),"ures")</f>
        <v>2.99</v>
      </c>
      <c r="BD23" s="201">
        <f>IFERROR(IF(LEFT(Minták!BO16,1)="&lt;",Minták!BO16,VALUE(Minták!BO16)),"ures")</f>
        <v>0.11</v>
      </c>
      <c r="BE23" s="201">
        <f>IFERROR(IF(LEFT(Minták!BP16,1)="&lt;",Minták!BP16,VALUE(Minták!BP16)),"ures")</f>
        <v>0.15</v>
      </c>
      <c r="BF23" s="201">
        <f>IFERROR(IF(LEFT(Minták!BQ16,1)="&lt;",Minták!BQ16,VALUE(Minták!BQ16)),"ures")</f>
        <v>0.16</v>
      </c>
      <c r="BG23" s="201">
        <f>IFERROR(IF(LEFT(Minták!BR16,1)="&lt;",Minták!BR16,VALUE(Minták!BR16)),"ures")</f>
        <v>21</v>
      </c>
      <c r="BH23" s="201">
        <f>IFERROR(IF(LEFT(Minták!BS16,1)="&lt;",Minták!BS16,VALUE(Minták!BS16)),"ures")</f>
        <v>1.2</v>
      </c>
      <c r="BI23" s="201">
        <f>IFERROR(IF(LEFT(Minták!BT16,1)="&lt;",Minták!BT16,VALUE(Minták!BT16)),"ures")</f>
        <v>142</v>
      </c>
      <c r="BJ23" s="201">
        <f>IFERROR(IF(LEFT(Minták!BU16,1)="&lt;",Minták!BU16,VALUE(Minták!BU16)),"ures")</f>
        <v>50.7</v>
      </c>
      <c r="BK23" s="201">
        <f>IFERROR(IF(LEFT(Minták!BV16,1)="&lt;",Minták!BV16,VALUE(Minták!BV16)),"ures")</f>
        <v>30.8</v>
      </c>
      <c r="BL23" s="201">
        <f>IFERROR(IF(LEFT(Minták!BW16,1)="&lt;",Minták!BW16,VALUE(Minták!BW16)),"ures")</f>
        <v>4.0999999999999996</v>
      </c>
      <c r="BM23" s="201">
        <f>IFERROR(IF(LEFT(Minták!BX16,1)="&lt;",Minták!BX16,VALUE(Minták!BX16)),"ures")</f>
        <v>7.24</v>
      </c>
      <c r="BN23" s="201">
        <f>IFERROR(IF(LEFT(Minták!BY16,1)="&lt;",Minták!BY16,VALUE(Minták!BY16)),"ures")</f>
        <v>455</v>
      </c>
      <c r="BO23" s="201">
        <f>IFERROR(IF(LEFT(Minták!BZ16,1)="&lt;",Minták!BZ16,VALUE(Minták!BZ16)),"ures")</f>
        <v>11.1</v>
      </c>
      <c r="BP23" s="201">
        <f>IFERROR(IF(LEFT(Minták!CA16,1)="&lt;",Minták!CA16,VALUE(Minták!CA16)),"ures")</f>
        <v>99</v>
      </c>
      <c r="BQ23" s="201">
        <f>IFERROR(IF(LEFT(Minták!CB16,1)="&lt;",Minták!CB16,VALUE(Minták!CB16)),"ures")</f>
        <v>0.32</v>
      </c>
      <c r="BR23" s="197" t="str">
        <f>IFERROR(Minták!CC16,"ures")</f>
        <v>szintelen</v>
      </c>
      <c r="BS23" s="197" t="str">
        <f>IFERROR(Minták!CD16,"ures")</f>
        <v>szagtalan</v>
      </c>
      <c r="BT23" s="197" t="str">
        <f>IFERROR(Minták!CE16,"ures")</f>
        <v>iztelen</v>
      </c>
      <c r="BU23" s="202">
        <f>IFERROR(IF(LEFT(Minták!CF16,1)="&lt;",Minták!CF16,VALUE(Minták!CF16)),"ures")</f>
        <v>250</v>
      </c>
      <c r="BV23" s="199" t="s">
        <v>701</v>
      </c>
      <c r="BW23" s="194" t="s">
        <v>701</v>
      </c>
      <c r="BX23" s="194" t="s">
        <v>701</v>
      </c>
      <c r="BY23" s="194" t="s">
        <v>701</v>
      </c>
      <c r="BZ23" s="194" t="s">
        <v>701</v>
      </c>
      <c r="CA23" s="194" t="s">
        <v>701</v>
      </c>
      <c r="CB23" s="194" t="s">
        <v>701</v>
      </c>
      <c r="CC23" s="194" t="s">
        <v>701</v>
      </c>
      <c r="CD23" s="194" t="s">
        <v>701</v>
      </c>
      <c r="CE23" s="194" t="s">
        <v>701</v>
      </c>
      <c r="CF23" s="194" t="s">
        <v>701</v>
      </c>
      <c r="CG23" s="194" t="s">
        <v>701</v>
      </c>
      <c r="CH23" s="194" t="s">
        <v>701</v>
      </c>
      <c r="CI23" s="194" t="s">
        <v>701</v>
      </c>
      <c r="CJ23" s="194" t="s">
        <v>701</v>
      </c>
      <c r="CK23" s="194" t="s">
        <v>701</v>
      </c>
      <c r="CL23" s="194" t="s">
        <v>701</v>
      </c>
      <c r="CM23" s="194" t="s">
        <v>701</v>
      </c>
      <c r="CN23" s="194" t="s">
        <v>701</v>
      </c>
      <c r="CO23" s="194" t="s">
        <v>701</v>
      </c>
      <c r="CP23" s="194" t="s">
        <v>701</v>
      </c>
      <c r="CQ23" s="194" t="s">
        <v>701</v>
      </c>
      <c r="CR23" s="194" t="s">
        <v>701</v>
      </c>
      <c r="CS23" s="194" t="s">
        <v>701</v>
      </c>
      <c r="CT23" s="194" t="s">
        <v>701</v>
      </c>
      <c r="CU23" s="194" t="s">
        <v>701</v>
      </c>
      <c r="CV23" s="194" t="s">
        <v>701</v>
      </c>
      <c r="CW23" s="194" t="s">
        <v>701</v>
      </c>
      <c r="CX23" s="194" t="s">
        <v>701</v>
      </c>
      <c r="CY23" s="194" t="s">
        <v>701</v>
      </c>
      <c r="CZ23" s="194" t="s">
        <v>701</v>
      </c>
      <c r="DA23" s="194" t="s">
        <v>701</v>
      </c>
      <c r="DB23" s="194" t="s">
        <v>701</v>
      </c>
      <c r="DC23" s="194" t="s">
        <v>701</v>
      </c>
      <c r="DD23" s="194" t="s">
        <v>701</v>
      </c>
      <c r="DE23" s="194" t="s">
        <v>701</v>
      </c>
      <c r="DF23" s="194" t="s">
        <v>701</v>
      </c>
      <c r="DG23" s="194" t="s">
        <v>701</v>
      </c>
      <c r="DH23" s="194" t="s">
        <v>701</v>
      </c>
      <c r="DI23" s="194" t="s">
        <v>701</v>
      </c>
      <c r="DJ23" s="194" t="s">
        <v>701</v>
      </c>
      <c r="DK23" s="194" t="s">
        <v>701</v>
      </c>
      <c r="DL23" s="194" t="s">
        <v>701</v>
      </c>
      <c r="DM23" s="194" t="s">
        <v>701</v>
      </c>
      <c r="DN23" s="194" t="s">
        <v>701</v>
      </c>
      <c r="DO23" s="194" t="s">
        <v>701</v>
      </c>
      <c r="DP23" s="194" t="s">
        <v>701</v>
      </c>
      <c r="DQ23" s="194" t="s">
        <v>701</v>
      </c>
      <c r="DR23" s="194" t="s">
        <v>701</v>
      </c>
      <c r="DS23" s="194" t="s">
        <v>701</v>
      </c>
      <c r="DT23" s="194" t="s">
        <v>701</v>
      </c>
      <c r="DU23" s="194" t="s">
        <v>701</v>
      </c>
      <c r="DV23" s="194" t="s">
        <v>701</v>
      </c>
      <c r="DW23" s="194" t="s">
        <v>701</v>
      </c>
      <c r="DX23" s="194" t="s">
        <v>701</v>
      </c>
      <c r="DY23" s="194" t="s">
        <v>701</v>
      </c>
      <c r="DZ23" s="194" t="s">
        <v>701</v>
      </c>
      <c r="EA23" s="194" t="s">
        <v>701</v>
      </c>
      <c r="EB23" s="194" t="s">
        <v>701</v>
      </c>
      <c r="EC23" s="194" t="s">
        <v>701</v>
      </c>
      <c r="ED23" s="194" t="s">
        <v>701</v>
      </c>
      <c r="EE23" s="194" t="s">
        <v>701</v>
      </c>
      <c r="EF23" s="194" t="s">
        <v>701</v>
      </c>
      <c r="EG23" s="194" t="s">
        <v>701</v>
      </c>
      <c r="EH23" s="194" t="s">
        <v>701</v>
      </c>
      <c r="EI23" s="194" t="s">
        <v>701</v>
      </c>
      <c r="EJ23" s="194" t="s">
        <v>701</v>
      </c>
      <c r="EK23" s="194" t="s">
        <v>701</v>
      </c>
      <c r="EL23" s="194" t="s">
        <v>701</v>
      </c>
      <c r="EM23" s="194" t="s">
        <v>701</v>
      </c>
      <c r="EN23" s="194" t="s">
        <v>701</v>
      </c>
      <c r="EO23" s="194" t="s">
        <v>701</v>
      </c>
      <c r="EP23" s="194" t="s">
        <v>701</v>
      </c>
      <c r="EQ23" s="194" t="s">
        <v>701</v>
      </c>
      <c r="ER23" s="194" t="s">
        <v>701</v>
      </c>
      <c r="ES23" s="194" t="s">
        <v>701</v>
      </c>
      <c r="ET23" s="194" t="s">
        <v>701</v>
      </c>
      <c r="EU23" s="194" t="s">
        <v>701</v>
      </c>
      <c r="EV23" s="194" t="s">
        <v>701</v>
      </c>
      <c r="EW23" s="194" t="s">
        <v>701</v>
      </c>
      <c r="EX23" s="194" t="s">
        <v>701</v>
      </c>
      <c r="EY23" s="194" t="s">
        <v>701</v>
      </c>
      <c r="EZ23" s="194" t="s">
        <v>701</v>
      </c>
      <c r="FA23" s="194" t="s">
        <v>701</v>
      </c>
      <c r="FB23" s="194" t="s">
        <v>701</v>
      </c>
      <c r="FC23" s="194" t="s">
        <v>701</v>
      </c>
      <c r="FD23" s="194" t="s">
        <v>701</v>
      </c>
      <c r="FE23" s="194" t="s">
        <v>701</v>
      </c>
      <c r="FF23" s="194" t="s">
        <v>701</v>
      </c>
      <c r="FG23" s="194" t="s">
        <v>701</v>
      </c>
      <c r="FH23" s="194" t="s">
        <v>701</v>
      </c>
      <c r="FI23" s="194" t="s">
        <v>701</v>
      </c>
      <c r="FJ23" s="194" t="s">
        <v>701</v>
      </c>
      <c r="FK23" s="194" t="s">
        <v>701</v>
      </c>
      <c r="FL23" s="194" t="s">
        <v>701</v>
      </c>
      <c r="FM23" s="194" t="s">
        <v>701</v>
      </c>
      <c r="FN23" s="194" t="s">
        <v>701</v>
      </c>
      <c r="FO23" s="194" t="s">
        <v>701</v>
      </c>
      <c r="FP23" s="194" t="s">
        <v>701</v>
      </c>
      <c r="FQ23" s="194" t="s">
        <v>701</v>
      </c>
      <c r="FR23" s="194" t="s">
        <v>701</v>
      </c>
      <c r="FS23" s="194" t="s">
        <v>701</v>
      </c>
      <c r="FT23" s="194" t="s">
        <v>701</v>
      </c>
      <c r="FU23" s="194" t="s">
        <v>701</v>
      </c>
      <c r="FV23" s="194" t="s">
        <v>701</v>
      </c>
      <c r="FW23" s="194" t="s">
        <v>701</v>
      </c>
      <c r="FX23" s="194" t="s">
        <v>701</v>
      </c>
      <c r="FY23" s="26" t="s">
        <v>511</v>
      </c>
    </row>
    <row r="24" spans="1:181" ht="16.149999999999999" customHeight="1" thickBot="1" x14ac:dyDescent="0.3">
      <c r="A24" s="186">
        <f>Minták!B17</f>
        <v>13</v>
      </c>
      <c r="B24" s="187"/>
      <c r="C24" s="22" t="str">
        <f>Minták!I17</f>
        <v>IV</v>
      </c>
      <c r="D24" s="22">
        <f>Minták!J17</f>
        <v>20511827</v>
      </c>
      <c r="E24" s="188" t="s">
        <v>699</v>
      </c>
      <c r="F24" s="22" t="str">
        <f>Minták!L17</f>
        <v>U</v>
      </c>
      <c r="G24" s="189">
        <f>MV!L19</f>
        <v>45304</v>
      </c>
      <c r="H24" s="190">
        <f t="shared" si="0"/>
        <v>2024</v>
      </c>
      <c r="I24" s="190">
        <f t="shared" si="1"/>
        <v>1</v>
      </c>
      <c r="J24" s="1" t="str">
        <f>Minták!O17</f>
        <v>Aqua Szolgáltató Kft. Vizsgáló-laboratórium</v>
      </c>
      <c r="K24" s="25">
        <f>Minták!M17</f>
        <v>21889495</v>
      </c>
      <c r="L24" s="188" t="s">
        <v>699</v>
      </c>
      <c r="M24" s="24" t="str">
        <f>Minták!N17</f>
        <v>NAH-1-1650/2019</v>
      </c>
      <c r="N24" s="385">
        <f>Minták!E17</f>
        <v>45304</v>
      </c>
      <c r="O24" s="385">
        <f t="shared" si="2"/>
        <v>45304</v>
      </c>
      <c r="P24" s="385">
        <f>Minták!AU17</f>
        <v>45324</v>
      </c>
      <c r="Q24" s="22" t="str">
        <f>Minták!P17</f>
        <v>TERV</v>
      </c>
      <c r="R24" s="191" t="str">
        <f>Minták!Q17</f>
        <v>-</v>
      </c>
      <c r="S24" s="188" t="s">
        <v>699</v>
      </c>
      <c r="T24" s="26" t="str">
        <f>Minták!G17</f>
        <v>bNSCFQ</v>
      </c>
      <c r="U24" s="192"/>
      <c r="V24" s="192"/>
      <c r="W24" s="193" t="str">
        <f>Minták!F17</f>
        <v>3916 Vqhezdzow Askfua</v>
      </c>
      <c r="X24" s="25">
        <f>Minták!R17</f>
        <v>9451275700</v>
      </c>
      <c r="Y24" s="188" t="s">
        <v>699</v>
      </c>
      <c r="Z24" s="1" t="str">
        <f>Minták!S17</f>
        <v>igen</v>
      </c>
      <c r="AA24" s="25">
        <f>Minták!T17</f>
        <v>21889495</v>
      </c>
      <c r="AB24" s="24" t="str">
        <f>Minták!U17</f>
        <v>NAH-1-1650/2019</v>
      </c>
      <c r="AC24" s="188" t="s">
        <v>699</v>
      </c>
      <c r="AD24" s="26" t="s">
        <v>44</v>
      </c>
      <c r="AE24" s="157" t="str">
        <f>Minták!X17</f>
        <v>-</v>
      </c>
      <c r="AF24" s="26"/>
      <c r="AG24" s="26"/>
      <c r="AH24" s="26"/>
      <c r="AI24" s="194" t="s">
        <v>701</v>
      </c>
      <c r="AJ24" s="194" t="s">
        <v>701</v>
      </c>
      <c r="AK24" s="194" t="s">
        <v>701</v>
      </c>
      <c r="AL24" s="194" t="s">
        <v>701</v>
      </c>
      <c r="AM24" s="194" t="s">
        <v>701</v>
      </c>
      <c r="AN24" s="194" t="s">
        <v>701</v>
      </c>
      <c r="AO24" s="194" t="s">
        <v>701</v>
      </c>
      <c r="AP24" s="194" t="s">
        <v>701</v>
      </c>
      <c r="AQ24" s="194" t="s">
        <v>701</v>
      </c>
      <c r="AR24" s="194" t="s">
        <v>701</v>
      </c>
      <c r="AS24" s="194" t="s">
        <v>701</v>
      </c>
      <c r="AT24" s="194" t="s">
        <v>701</v>
      </c>
      <c r="AU24" s="194" t="s">
        <v>701</v>
      </c>
      <c r="AV24" s="194" t="s">
        <v>701</v>
      </c>
      <c r="AW24" s="194" t="s">
        <v>701</v>
      </c>
      <c r="AX24" s="194" t="s">
        <v>701</v>
      </c>
      <c r="AY24" s="194" t="s">
        <v>701</v>
      </c>
      <c r="AZ24" s="194" t="s">
        <v>701</v>
      </c>
      <c r="BA24" s="195" t="s">
        <v>701</v>
      </c>
      <c r="BB24" s="200">
        <f>IFERROR(IF(LEFT(Minták!BM17,1)="&lt;",Minták!BM17,VALUE(Minták!BM17)),"ures")</f>
        <v>0.11</v>
      </c>
      <c r="BC24" s="201">
        <f>IFERROR(IF(LEFT(Minták!BN17,1)="&lt;",Minták!BN17,VALUE(Minták!BN17)),"ures")</f>
        <v>3.24</v>
      </c>
      <c r="BD24" s="201">
        <f>IFERROR(IF(LEFT(Minták!BO17,1)="&lt;",Minták!BO17,VALUE(Minták!BO17)),"ures")</f>
        <v>0.12</v>
      </c>
      <c r="BE24" s="201">
        <f>IFERROR(IF(LEFT(Minták!BP17,1)="&lt;",Minták!BP17,VALUE(Minták!BP17)),"ures")</f>
        <v>0.16</v>
      </c>
      <c r="BF24" s="201">
        <f>IFERROR(IF(LEFT(Minták!BQ17,1)="&lt;",Minták!BQ17,VALUE(Minták!BQ17)),"ures")</f>
        <v>0.17</v>
      </c>
      <c r="BG24" s="201">
        <f>IFERROR(IF(LEFT(Minták!BR17,1)="&lt;",Minták!BR17,VALUE(Minták!BR17)),"ures")</f>
        <v>22</v>
      </c>
      <c r="BH24" s="201">
        <f>IFERROR(IF(LEFT(Minták!BS17,1)="&lt;",Minták!BS17,VALUE(Minták!BS17)),"ures")</f>
        <v>1.3</v>
      </c>
      <c r="BI24" s="201">
        <f>IFERROR(IF(LEFT(Minták!BT17,1)="&lt;",Minták!BT17,VALUE(Minták!BT17)),"ures")</f>
        <v>144</v>
      </c>
      <c r="BJ24" s="201">
        <f>IFERROR(IF(LEFT(Minták!BU17,1)="&lt;",Minták!BU17,VALUE(Minták!BU17)),"ures")</f>
        <v>51.5</v>
      </c>
      <c r="BK24" s="201">
        <f>IFERROR(IF(LEFT(Minták!BV17,1)="&lt;",Minták!BV17,VALUE(Minták!BV17)),"ures")</f>
        <v>31.2</v>
      </c>
      <c r="BL24" s="201">
        <f>IFERROR(IF(LEFT(Minták!BW17,1)="&lt;",Minták!BW17,VALUE(Minták!BW17)),"ures")</f>
        <v>4.2</v>
      </c>
      <c r="BM24" s="201">
        <f>IFERROR(IF(LEFT(Minták!BX17,1)="&lt;",Minták!BX17,VALUE(Minták!BX17)),"ures")</f>
        <v>7.26</v>
      </c>
      <c r="BN24" s="201">
        <f>IFERROR(IF(LEFT(Minták!BY17,1)="&lt;",Minták!BY17,VALUE(Minták!BY17)),"ures")</f>
        <v>460</v>
      </c>
      <c r="BO24" s="201">
        <f>IFERROR(IF(LEFT(Minták!BZ17,1)="&lt;",Minták!BZ17,VALUE(Minták!BZ17)),"ures")</f>
        <v>11.2</v>
      </c>
      <c r="BP24" s="201">
        <f>IFERROR(IF(LEFT(Minták!CA17,1)="&lt;",Minták!CA17,VALUE(Minták!CA17)),"ures")</f>
        <v>107</v>
      </c>
      <c r="BQ24" s="201">
        <f>IFERROR(IF(LEFT(Minták!CB17,1)="&lt;",Minták!CB17,VALUE(Minták!CB17)),"ures")</f>
        <v>0.34</v>
      </c>
      <c r="BR24" s="197" t="str">
        <f>IFERROR(Minták!CC17,"ures")</f>
        <v>szintelen</v>
      </c>
      <c r="BS24" s="197" t="str">
        <f>IFERROR(Minták!CD17,"ures")</f>
        <v>szagtalan</v>
      </c>
      <c r="BT24" s="197" t="str">
        <f>IFERROR(Minták!CE17,"ures")</f>
        <v>iztelen</v>
      </c>
      <c r="BU24" s="202">
        <f>IFERROR(IF(LEFT(Minták!CF17,1)="&lt;",Minták!CF17,VALUE(Minták!CF17)),"ures")</f>
        <v>256</v>
      </c>
      <c r="BV24" s="199" t="s">
        <v>701</v>
      </c>
      <c r="BW24" s="194" t="s">
        <v>701</v>
      </c>
      <c r="BX24" s="194" t="s">
        <v>701</v>
      </c>
      <c r="BY24" s="194" t="s">
        <v>701</v>
      </c>
      <c r="BZ24" s="194" t="s">
        <v>701</v>
      </c>
      <c r="CA24" s="194" t="s">
        <v>701</v>
      </c>
      <c r="CB24" s="194" t="s">
        <v>701</v>
      </c>
      <c r="CC24" s="194" t="s">
        <v>701</v>
      </c>
      <c r="CD24" s="194" t="s">
        <v>701</v>
      </c>
      <c r="CE24" s="194" t="s">
        <v>701</v>
      </c>
      <c r="CF24" s="194" t="s">
        <v>701</v>
      </c>
      <c r="CG24" s="194" t="s">
        <v>701</v>
      </c>
      <c r="CH24" s="194" t="s">
        <v>701</v>
      </c>
      <c r="CI24" s="194" t="s">
        <v>701</v>
      </c>
      <c r="CJ24" s="194" t="s">
        <v>701</v>
      </c>
      <c r="CK24" s="194" t="s">
        <v>701</v>
      </c>
      <c r="CL24" s="194" t="s">
        <v>701</v>
      </c>
      <c r="CM24" s="194" t="s">
        <v>701</v>
      </c>
      <c r="CN24" s="194" t="s">
        <v>701</v>
      </c>
      <c r="CO24" s="194" t="s">
        <v>701</v>
      </c>
      <c r="CP24" s="194" t="s">
        <v>701</v>
      </c>
      <c r="CQ24" s="194" t="s">
        <v>701</v>
      </c>
      <c r="CR24" s="194" t="s">
        <v>701</v>
      </c>
      <c r="CS24" s="194" t="s">
        <v>701</v>
      </c>
      <c r="CT24" s="194" t="s">
        <v>701</v>
      </c>
      <c r="CU24" s="194" t="s">
        <v>701</v>
      </c>
      <c r="CV24" s="194" t="s">
        <v>701</v>
      </c>
      <c r="CW24" s="194" t="s">
        <v>701</v>
      </c>
      <c r="CX24" s="194" t="s">
        <v>701</v>
      </c>
      <c r="CY24" s="194" t="s">
        <v>701</v>
      </c>
      <c r="CZ24" s="194" t="s">
        <v>701</v>
      </c>
      <c r="DA24" s="194" t="s">
        <v>701</v>
      </c>
      <c r="DB24" s="194" t="s">
        <v>701</v>
      </c>
      <c r="DC24" s="194" t="s">
        <v>701</v>
      </c>
      <c r="DD24" s="194" t="s">
        <v>701</v>
      </c>
      <c r="DE24" s="194" t="s">
        <v>701</v>
      </c>
      <c r="DF24" s="194" t="s">
        <v>701</v>
      </c>
      <c r="DG24" s="194" t="s">
        <v>701</v>
      </c>
      <c r="DH24" s="194" t="s">
        <v>701</v>
      </c>
      <c r="DI24" s="194" t="s">
        <v>701</v>
      </c>
      <c r="DJ24" s="194" t="s">
        <v>701</v>
      </c>
      <c r="DK24" s="194" t="s">
        <v>701</v>
      </c>
      <c r="DL24" s="194" t="s">
        <v>701</v>
      </c>
      <c r="DM24" s="194" t="s">
        <v>701</v>
      </c>
      <c r="DN24" s="194" t="s">
        <v>701</v>
      </c>
      <c r="DO24" s="194" t="s">
        <v>701</v>
      </c>
      <c r="DP24" s="194" t="s">
        <v>701</v>
      </c>
      <c r="DQ24" s="194" t="s">
        <v>701</v>
      </c>
      <c r="DR24" s="194" t="s">
        <v>701</v>
      </c>
      <c r="DS24" s="194" t="s">
        <v>701</v>
      </c>
      <c r="DT24" s="194" t="s">
        <v>701</v>
      </c>
      <c r="DU24" s="194" t="s">
        <v>701</v>
      </c>
      <c r="DV24" s="194" t="s">
        <v>701</v>
      </c>
      <c r="DW24" s="194" t="s">
        <v>701</v>
      </c>
      <c r="DX24" s="194" t="s">
        <v>701</v>
      </c>
      <c r="DY24" s="194" t="s">
        <v>701</v>
      </c>
      <c r="DZ24" s="194" t="s">
        <v>701</v>
      </c>
      <c r="EA24" s="194" t="s">
        <v>701</v>
      </c>
      <c r="EB24" s="194" t="s">
        <v>701</v>
      </c>
      <c r="EC24" s="194" t="s">
        <v>701</v>
      </c>
      <c r="ED24" s="194" t="s">
        <v>701</v>
      </c>
      <c r="EE24" s="194" t="s">
        <v>701</v>
      </c>
      <c r="EF24" s="194" t="s">
        <v>701</v>
      </c>
      <c r="EG24" s="194" t="s">
        <v>701</v>
      </c>
      <c r="EH24" s="194" t="s">
        <v>701</v>
      </c>
      <c r="EI24" s="194" t="s">
        <v>701</v>
      </c>
      <c r="EJ24" s="194" t="s">
        <v>701</v>
      </c>
      <c r="EK24" s="194" t="s">
        <v>701</v>
      </c>
      <c r="EL24" s="194" t="s">
        <v>701</v>
      </c>
      <c r="EM24" s="194" t="s">
        <v>701</v>
      </c>
      <c r="EN24" s="194" t="s">
        <v>701</v>
      </c>
      <c r="EO24" s="194" t="s">
        <v>701</v>
      </c>
      <c r="EP24" s="194" t="s">
        <v>701</v>
      </c>
      <c r="EQ24" s="194" t="s">
        <v>701</v>
      </c>
      <c r="ER24" s="194" t="s">
        <v>701</v>
      </c>
      <c r="ES24" s="194" t="s">
        <v>701</v>
      </c>
      <c r="ET24" s="194" t="s">
        <v>701</v>
      </c>
      <c r="EU24" s="194" t="s">
        <v>701</v>
      </c>
      <c r="EV24" s="194" t="s">
        <v>701</v>
      </c>
      <c r="EW24" s="194" t="s">
        <v>701</v>
      </c>
      <c r="EX24" s="194" t="s">
        <v>701</v>
      </c>
      <c r="EY24" s="194" t="s">
        <v>701</v>
      </c>
      <c r="EZ24" s="194" t="s">
        <v>701</v>
      </c>
      <c r="FA24" s="194" t="s">
        <v>701</v>
      </c>
      <c r="FB24" s="194" t="s">
        <v>701</v>
      </c>
      <c r="FC24" s="194" t="s">
        <v>701</v>
      </c>
      <c r="FD24" s="194" t="s">
        <v>701</v>
      </c>
      <c r="FE24" s="194" t="s">
        <v>701</v>
      </c>
      <c r="FF24" s="194" t="s">
        <v>701</v>
      </c>
      <c r="FG24" s="194" t="s">
        <v>701</v>
      </c>
      <c r="FH24" s="194" t="s">
        <v>701</v>
      </c>
      <c r="FI24" s="194" t="s">
        <v>701</v>
      </c>
      <c r="FJ24" s="194" t="s">
        <v>701</v>
      </c>
      <c r="FK24" s="194" t="s">
        <v>701</v>
      </c>
      <c r="FL24" s="194" t="s">
        <v>701</v>
      </c>
      <c r="FM24" s="194" t="s">
        <v>701</v>
      </c>
      <c r="FN24" s="194" t="s">
        <v>701</v>
      </c>
      <c r="FO24" s="194" t="s">
        <v>701</v>
      </c>
      <c r="FP24" s="194" t="s">
        <v>701</v>
      </c>
      <c r="FQ24" s="194" t="s">
        <v>701</v>
      </c>
      <c r="FR24" s="194" t="s">
        <v>701</v>
      </c>
      <c r="FS24" s="194" t="s">
        <v>701</v>
      </c>
      <c r="FT24" s="194" t="s">
        <v>701</v>
      </c>
      <c r="FU24" s="194" t="s">
        <v>701</v>
      </c>
      <c r="FV24" s="194" t="s">
        <v>701</v>
      </c>
      <c r="FW24" s="194" t="s">
        <v>701</v>
      </c>
      <c r="FX24" s="194" t="s">
        <v>701</v>
      </c>
      <c r="FY24" s="26" t="s">
        <v>511</v>
      </c>
    </row>
    <row r="25" spans="1:181" ht="16.149999999999999" customHeight="1" thickBot="1" x14ac:dyDescent="0.3">
      <c r="A25" s="186">
        <f>Minták!B18</f>
        <v>14</v>
      </c>
      <c r="B25" s="187"/>
      <c r="C25" s="22" t="str">
        <f>Minták!I18</f>
        <v>KUT</v>
      </c>
      <c r="D25" s="22">
        <f>Minták!J18</f>
        <v>20511827</v>
      </c>
      <c r="E25" s="188" t="s">
        <v>699</v>
      </c>
      <c r="F25" s="22" t="str">
        <f>Minták!L18</f>
        <v>U</v>
      </c>
      <c r="G25" s="189">
        <f>MV!L20</f>
        <v>45305</v>
      </c>
      <c r="H25" s="190">
        <f t="shared" si="0"/>
        <v>2024</v>
      </c>
      <c r="I25" s="190">
        <f t="shared" si="1"/>
        <v>1</v>
      </c>
      <c r="J25" s="1" t="str">
        <f>Minták!O18</f>
        <v>Aqua Szolgáltató Kft. Vizsgáló-laboratórium</v>
      </c>
      <c r="K25" s="25">
        <f>Minták!M18</f>
        <v>21889495</v>
      </c>
      <c r="L25" s="188" t="s">
        <v>699</v>
      </c>
      <c r="M25" s="24" t="str">
        <f>Minták!N18</f>
        <v>NAH-1-1650/2019</v>
      </c>
      <c r="N25" s="385">
        <f>Minták!E18</f>
        <v>45305</v>
      </c>
      <c r="O25" s="385">
        <f t="shared" si="2"/>
        <v>45305</v>
      </c>
      <c r="P25" s="385">
        <f>Minták!AU18</f>
        <v>45324</v>
      </c>
      <c r="Q25" s="22" t="str">
        <f>Minták!P18</f>
        <v>TERV</v>
      </c>
      <c r="R25" s="191" t="str">
        <f>Minták!Q18</f>
        <v>-</v>
      </c>
      <c r="S25" s="188" t="s">
        <v>699</v>
      </c>
      <c r="T25" s="26" t="str">
        <f>Minták!G18</f>
        <v>Hweeda</v>
      </c>
      <c r="U25" s="192"/>
      <c r="V25" s="192"/>
      <c r="W25" s="193" t="str">
        <f>Minták!F18</f>
        <v>1730 Gpgmafj Mcsjny</v>
      </c>
      <c r="X25" s="25">
        <f>Minták!R18</f>
        <v>7607563553</v>
      </c>
      <c r="Y25" s="188" t="s">
        <v>699</v>
      </c>
      <c r="Z25" s="1" t="str">
        <f>Minták!S18</f>
        <v>igen</v>
      </c>
      <c r="AA25" s="25">
        <f>Minták!T18</f>
        <v>21889495</v>
      </c>
      <c r="AB25" s="24" t="str">
        <f>Minták!U18</f>
        <v>NAH-1-1650/2019</v>
      </c>
      <c r="AC25" s="188" t="s">
        <v>699</v>
      </c>
      <c r="AD25" s="26" t="s">
        <v>44</v>
      </c>
      <c r="AE25" s="157" t="str">
        <f>Minták!X18</f>
        <v>-</v>
      </c>
      <c r="AF25" s="26"/>
      <c r="AG25" s="26"/>
      <c r="AH25" s="26"/>
      <c r="AI25" s="194" t="s">
        <v>701</v>
      </c>
      <c r="AJ25" s="194" t="s">
        <v>701</v>
      </c>
      <c r="AK25" s="194" t="s">
        <v>701</v>
      </c>
      <c r="AL25" s="194" t="s">
        <v>701</v>
      </c>
      <c r="AM25" s="194" t="s">
        <v>701</v>
      </c>
      <c r="AN25" s="194" t="s">
        <v>701</v>
      </c>
      <c r="AO25" s="194" t="s">
        <v>701</v>
      </c>
      <c r="AP25" s="194" t="s">
        <v>701</v>
      </c>
      <c r="AQ25" s="194" t="s">
        <v>701</v>
      </c>
      <c r="AR25" s="194" t="s">
        <v>701</v>
      </c>
      <c r="AS25" s="194" t="s">
        <v>701</v>
      </c>
      <c r="AT25" s="194" t="s">
        <v>701</v>
      </c>
      <c r="AU25" s="194" t="s">
        <v>701</v>
      </c>
      <c r="AV25" s="194" t="s">
        <v>701</v>
      </c>
      <c r="AW25" s="194" t="s">
        <v>701</v>
      </c>
      <c r="AX25" s="194" t="s">
        <v>701</v>
      </c>
      <c r="AY25" s="194" t="s">
        <v>701</v>
      </c>
      <c r="AZ25" s="194" t="s">
        <v>701</v>
      </c>
      <c r="BA25" s="195" t="s">
        <v>701</v>
      </c>
      <c r="BB25" s="200">
        <f>IFERROR(IF(LEFT(Minták!BM18,1)="&lt;",Minták!BM18,VALUE(Minták!BM18)),"ures")</f>
        <v>0.11</v>
      </c>
      <c r="BC25" s="201">
        <f>IFERROR(IF(LEFT(Minták!BN18,1)="&lt;",Minták!BN18,VALUE(Minták!BN18)),"ures")</f>
        <v>3.49</v>
      </c>
      <c r="BD25" s="201">
        <f>IFERROR(IF(LEFT(Minták!BO18,1)="&lt;",Minták!BO18,VALUE(Minták!BO18)),"ures")</f>
        <v>0.13</v>
      </c>
      <c r="BE25" s="201">
        <f>IFERROR(IF(LEFT(Minták!BP18,1)="&lt;",Minták!BP18,VALUE(Minták!BP18)),"ures")</f>
        <v>0.17</v>
      </c>
      <c r="BF25" s="201">
        <f>IFERROR(IF(LEFT(Minták!BQ18,1)="&lt;",Minták!BQ18,VALUE(Minták!BQ18)),"ures")</f>
        <v>0.19</v>
      </c>
      <c r="BG25" s="201">
        <f>IFERROR(IF(LEFT(Minták!BR18,1)="&lt;",Minták!BR18,VALUE(Minták!BR18)),"ures")</f>
        <v>23</v>
      </c>
      <c r="BH25" s="201">
        <f>IFERROR(IF(LEFT(Minták!BS18,1)="&lt;",Minták!BS18,VALUE(Minták!BS18)),"ures")</f>
        <v>1.4</v>
      </c>
      <c r="BI25" s="201">
        <f>IFERROR(IF(LEFT(Minták!BT18,1)="&lt;",Minták!BT18,VALUE(Minták!BT18)),"ures")</f>
        <v>146</v>
      </c>
      <c r="BJ25" s="201">
        <f>IFERROR(IF(LEFT(Minták!BU18,1)="&lt;",Minták!BU18,VALUE(Minták!BU18)),"ures")</f>
        <v>52.2</v>
      </c>
      <c r="BK25" s="201">
        <f>IFERROR(IF(LEFT(Minták!BV18,1)="&lt;",Minták!BV18,VALUE(Minták!BV18)),"ures")</f>
        <v>31.6</v>
      </c>
      <c r="BL25" s="201">
        <f>IFERROR(IF(LEFT(Minták!BW18,1)="&lt;",Minták!BW18,VALUE(Minták!BW18)),"ures")</f>
        <v>4.3</v>
      </c>
      <c r="BM25" s="201">
        <f>IFERROR(IF(LEFT(Minták!BX18,1)="&lt;",Minták!BX18,VALUE(Minták!BX18)),"ures")</f>
        <v>7.28</v>
      </c>
      <c r="BN25" s="201">
        <f>IFERROR(IF(LEFT(Minták!BY18,1)="&lt;",Minták!BY18,VALUE(Minták!BY18)),"ures")</f>
        <v>465</v>
      </c>
      <c r="BO25" s="201">
        <f>IFERROR(IF(LEFT(Minták!BZ18,1)="&lt;",Minták!BZ18,VALUE(Minták!BZ18)),"ures")</f>
        <v>11.3</v>
      </c>
      <c r="BP25" s="201">
        <f>IFERROR(IF(LEFT(Minták!CA18,1)="&lt;",Minták!CA18,VALUE(Minták!CA18)),"ures")</f>
        <v>115</v>
      </c>
      <c r="BQ25" s="201">
        <f>IFERROR(IF(LEFT(Minták!CB18,1)="&lt;",Minták!CB18,VALUE(Minták!CB18)),"ures")</f>
        <v>0.36</v>
      </c>
      <c r="BR25" s="197" t="str">
        <f>IFERROR(Minták!CC18,"ures")</f>
        <v>szintelen</v>
      </c>
      <c r="BS25" s="197" t="str">
        <f>IFERROR(Minták!CD18,"ures")</f>
        <v>szagtalan</v>
      </c>
      <c r="BT25" s="197" t="str">
        <f>IFERROR(Minták!CE18,"ures")</f>
        <v>iztelen</v>
      </c>
      <c r="BU25" s="202">
        <f>IFERROR(IF(LEFT(Minták!CF18,1)="&lt;",Minták!CF18,VALUE(Minták!CF18)),"ures")</f>
        <v>262</v>
      </c>
      <c r="BV25" s="199" t="s">
        <v>701</v>
      </c>
      <c r="BW25" s="194" t="s">
        <v>701</v>
      </c>
      <c r="BX25" s="194" t="s">
        <v>701</v>
      </c>
      <c r="BY25" s="194" t="s">
        <v>701</v>
      </c>
      <c r="BZ25" s="194" t="s">
        <v>701</v>
      </c>
      <c r="CA25" s="194" t="s">
        <v>701</v>
      </c>
      <c r="CB25" s="194" t="s">
        <v>701</v>
      </c>
      <c r="CC25" s="194" t="s">
        <v>701</v>
      </c>
      <c r="CD25" s="194" t="s">
        <v>701</v>
      </c>
      <c r="CE25" s="194" t="s">
        <v>701</v>
      </c>
      <c r="CF25" s="194" t="s">
        <v>701</v>
      </c>
      <c r="CG25" s="194" t="s">
        <v>701</v>
      </c>
      <c r="CH25" s="194" t="s">
        <v>701</v>
      </c>
      <c r="CI25" s="194" t="s">
        <v>701</v>
      </c>
      <c r="CJ25" s="194" t="s">
        <v>701</v>
      </c>
      <c r="CK25" s="194" t="s">
        <v>701</v>
      </c>
      <c r="CL25" s="194" t="s">
        <v>701</v>
      </c>
      <c r="CM25" s="194" t="s">
        <v>701</v>
      </c>
      <c r="CN25" s="194" t="s">
        <v>701</v>
      </c>
      <c r="CO25" s="194" t="s">
        <v>701</v>
      </c>
      <c r="CP25" s="194" t="s">
        <v>701</v>
      </c>
      <c r="CQ25" s="194" t="s">
        <v>701</v>
      </c>
      <c r="CR25" s="194" t="s">
        <v>701</v>
      </c>
      <c r="CS25" s="194" t="s">
        <v>701</v>
      </c>
      <c r="CT25" s="194" t="s">
        <v>701</v>
      </c>
      <c r="CU25" s="194" t="s">
        <v>701</v>
      </c>
      <c r="CV25" s="194" t="s">
        <v>701</v>
      </c>
      <c r="CW25" s="194" t="s">
        <v>701</v>
      </c>
      <c r="CX25" s="194" t="s">
        <v>701</v>
      </c>
      <c r="CY25" s="194" t="s">
        <v>701</v>
      </c>
      <c r="CZ25" s="194" t="s">
        <v>701</v>
      </c>
      <c r="DA25" s="194" t="s">
        <v>701</v>
      </c>
      <c r="DB25" s="194" t="s">
        <v>701</v>
      </c>
      <c r="DC25" s="194" t="s">
        <v>701</v>
      </c>
      <c r="DD25" s="194" t="s">
        <v>701</v>
      </c>
      <c r="DE25" s="194" t="s">
        <v>701</v>
      </c>
      <c r="DF25" s="194" t="s">
        <v>701</v>
      </c>
      <c r="DG25" s="194" t="s">
        <v>701</v>
      </c>
      <c r="DH25" s="194" t="s">
        <v>701</v>
      </c>
      <c r="DI25" s="194" t="s">
        <v>701</v>
      </c>
      <c r="DJ25" s="194" t="s">
        <v>701</v>
      </c>
      <c r="DK25" s="194" t="s">
        <v>701</v>
      </c>
      <c r="DL25" s="194" t="s">
        <v>701</v>
      </c>
      <c r="DM25" s="194" t="s">
        <v>701</v>
      </c>
      <c r="DN25" s="194" t="s">
        <v>701</v>
      </c>
      <c r="DO25" s="194" t="s">
        <v>701</v>
      </c>
      <c r="DP25" s="194" t="s">
        <v>701</v>
      </c>
      <c r="DQ25" s="194" t="s">
        <v>701</v>
      </c>
      <c r="DR25" s="194" t="s">
        <v>701</v>
      </c>
      <c r="DS25" s="194" t="s">
        <v>701</v>
      </c>
      <c r="DT25" s="194" t="s">
        <v>701</v>
      </c>
      <c r="DU25" s="194" t="s">
        <v>701</v>
      </c>
      <c r="DV25" s="194" t="s">
        <v>701</v>
      </c>
      <c r="DW25" s="194" t="s">
        <v>701</v>
      </c>
      <c r="DX25" s="194" t="s">
        <v>701</v>
      </c>
      <c r="DY25" s="194" t="s">
        <v>701</v>
      </c>
      <c r="DZ25" s="194" t="s">
        <v>701</v>
      </c>
      <c r="EA25" s="194" t="s">
        <v>701</v>
      </c>
      <c r="EB25" s="194" t="s">
        <v>701</v>
      </c>
      <c r="EC25" s="194" t="s">
        <v>701</v>
      </c>
      <c r="ED25" s="194" t="s">
        <v>701</v>
      </c>
      <c r="EE25" s="194" t="s">
        <v>701</v>
      </c>
      <c r="EF25" s="194" t="s">
        <v>701</v>
      </c>
      <c r="EG25" s="194" t="s">
        <v>701</v>
      </c>
      <c r="EH25" s="194" t="s">
        <v>701</v>
      </c>
      <c r="EI25" s="194" t="s">
        <v>701</v>
      </c>
      <c r="EJ25" s="194" t="s">
        <v>701</v>
      </c>
      <c r="EK25" s="194" t="s">
        <v>701</v>
      </c>
      <c r="EL25" s="194" t="s">
        <v>701</v>
      </c>
      <c r="EM25" s="194" t="s">
        <v>701</v>
      </c>
      <c r="EN25" s="194" t="s">
        <v>701</v>
      </c>
      <c r="EO25" s="194" t="s">
        <v>701</v>
      </c>
      <c r="EP25" s="194" t="s">
        <v>701</v>
      </c>
      <c r="EQ25" s="194" t="s">
        <v>701</v>
      </c>
      <c r="ER25" s="194" t="s">
        <v>701</v>
      </c>
      <c r="ES25" s="194" t="s">
        <v>701</v>
      </c>
      <c r="ET25" s="194" t="s">
        <v>701</v>
      </c>
      <c r="EU25" s="194" t="s">
        <v>701</v>
      </c>
      <c r="EV25" s="194" t="s">
        <v>701</v>
      </c>
      <c r="EW25" s="194" t="s">
        <v>701</v>
      </c>
      <c r="EX25" s="194" t="s">
        <v>701</v>
      </c>
      <c r="EY25" s="194" t="s">
        <v>701</v>
      </c>
      <c r="EZ25" s="194" t="s">
        <v>701</v>
      </c>
      <c r="FA25" s="194" t="s">
        <v>701</v>
      </c>
      <c r="FB25" s="194" t="s">
        <v>701</v>
      </c>
      <c r="FC25" s="194" t="s">
        <v>701</v>
      </c>
      <c r="FD25" s="194" t="s">
        <v>701</v>
      </c>
      <c r="FE25" s="194" t="s">
        <v>701</v>
      </c>
      <c r="FF25" s="194" t="s">
        <v>701</v>
      </c>
      <c r="FG25" s="194" t="s">
        <v>701</v>
      </c>
      <c r="FH25" s="194" t="s">
        <v>701</v>
      </c>
      <c r="FI25" s="194" t="s">
        <v>701</v>
      </c>
      <c r="FJ25" s="194" t="s">
        <v>701</v>
      </c>
      <c r="FK25" s="194" t="s">
        <v>701</v>
      </c>
      <c r="FL25" s="194" t="s">
        <v>701</v>
      </c>
      <c r="FM25" s="194" t="s">
        <v>701</v>
      </c>
      <c r="FN25" s="194" t="s">
        <v>701</v>
      </c>
      <c r="FO25" s="194" t="s">
        <v>701</v>
      </c>
      <c r="FP25" s="194" t="s">
        <v>701</v>
      </c>
      <c r="FQ25" s="194" t="s">
        <v>701</v>
      </c>
      <c r="FR25" s="194" t="s">
        <v>701</v>
      </c>
      <c r="FS25" s="194" t="s">
        <v>701</v>
      </c>
      <c r="FT25" s="194" t="s">
        <v>701</v>
      </c>
      <c r="FU25" s="194" t="s">
        <v>701</v>
      </c>
      <c r="FV25" s="194" t="s">
        <v>701</v>
      </c>
      <c r="FW25" s="194" t="s">
        <v>701</v>
      </c>
      <c r="FX25" s="194" t="s">
        <v>701</v>
      </c>
      <c r="FY25" s="26" t="s">
        <v>511</v>
      </c>
    </row>
    <row r="26" spans="1:181" ht="16.149999999999999" customHeight="1" thickBot="1" x14ac:dyDescent="0.3">
      <c r="A26" s="186">
        <f>Minták!B19</f>
        <v>15</v>
      </c>
      <c r="B26" s="187"/>
      <c r="C26" s="22" t="str">
        <f>Minták!I19</f>
        <v>KUT</v>
      </c>
      <c r="D26" s="22">
        <f>Minták!J19</f>
        <v>20511827</v>
      </c>
      <c r="E26" s="188" t="s">
        <v>699</v>
      </c>
      <c r="F26" s="22" t="str">
        <f>Minták!L19</f>
        <v>U</v>
      </c>
      <c r="G26" s="189">
        <f>MV!L21</f>
        <v>45306</v>
      </c>
      <c r="H26" s="190">
        <f t="shared" si="0"/>
        <v>2024</v>
      </c>
      <c r="I26" s="190">
        <f t="shared" si="1"/>
        <v>1</v>
      </c>
      <c r="J26" s="1" t="str">
        <f>Minták!O19</f>
        <v>Aqua Szolgáltató Kft. Vizsgáló-laboratórium</v>
      </c>
      <c r="K26" s="25">
        <f>Minták!M19</f>
        <v>21889495</v>
      </c>
      <c r="L26" s="188" t="s">
        <v>699</v>
      </c>
      <c r="M26" s="24" t="str">
        <f>Minták!N19</f>
        <v>NAH-1-1650/2019</v>
      </c>
      <c r="N26" s="385">
        <f>Minták!E19</f>
        <v>45306</v>
      </c>
      <c r="O26" s="385">
        <f t="shared" si="2"/>
        <v>45306</v>
      </c>
      <c r="P26" s="385">
        <f>Minták!AU19</f>
        <v>45324</v>
      </c>
      <c r="Q26" s="22" t="str">
        <f>Minták!P19</f>
        <v>TERV</v>
      </c>
      <c r="R26" s="191" t="str">
        <f>Minták!Q19</f>
        <v>-</v>
      </c>
      <c r="S26" s="188" t="s">
        <v>699</v>
      </c>
      <c r="T26" s="26" t="str">
        <f>Minták!G19</f>
        <v>Hweeda</v>
      </c>
      <c r="U26" s="192"/>
      <c r="V26" s="192"/>
      <c r="W26" s="193" t="str">
        <f>Minták!F19</f>
        <v>2993 Yhabayh Rskdom</v>
      </c>
      <c r="X26" s="25">
        <f>Minták!R19</f>
        <v>3381935529</v>
      </c>
      <c r="Y26" s="188" t="s">
        <v>699</v>
      </c>
      <c r="Z26" s="1" t="str">
        <f>Minták!S19</f>
        <v>nem</v>
      </c>
      <c r="AA26" s="25" t="str">
        <f>Minták!T19</f>
        <v>Megrendelő</v>
      </c>
      <c r="AB26" s="24" t="str">
        <f>Minták!U19</f>
        <v>na</v>
      </c>
      <c r="AC26" s="188" t="s">
        <v>699</v>
      </c>
      <c r="AD26" s="26" t="s">
        <v>44</v>
      </c>
      <c r="AE26" s="157" t="str">
        <f>Minták!X19</f>
        <v>-</v>
      </c>
      <c r="AF26" s="26"/>
      <c r="AG26" s="26"/>
      <c r="AH26" s="26"/>
      <c r="AI26" s="194" t="s">
        <v>701</v>
      </c>
      <c r="AJ26" s="194" t="s">
        <v>701</v>
      </c>
      <c r="AK26" s="194" t="s">
        <v>701</v>
      </c>
      <c r="AL26" s="194" t="s">
        <v>701</v>
      </c>
      <c r="AM26" s="194" t="s">
        <v>701</v>
      </c>
      <c r="AN26" s="194" t="s">
        <v>701</v>
      </c>
      <c r="AO26" s="194" t="s">
        <v>701</v>
      </c>
      <c r="AP26" s="194" t="s">
        <v>701</v>
      </c>
      <c r="AQ26" s="194" t="s">
        <v>701</v>
      </c>
      <c r="AR26" s="194" t="s">
        <v>701</v>
      </c>
      <c r="AS26" s="194" t="s">
        <v>701</v>
      </c>
      <c r="AT26" s="194" t="s">
        <v>701</v>
      </c>
      <c r="AU26" s="194" t="s">
        <v>701</v>
      </c>
      <c r="AV26" s="194" t="s">
        <v>701</v>
      </c>
      <c r="AW26" s="194" t="s">
        <v>701</v>
      </c>
      <c r="AX26" s="194" t="s">
        <v>701</v>
      </c>
      <c r="AY26" s="194" t="s">
        <v>701</v>
      </c>
      <c r="AZ26" s="194" t="s">
        <v>701</v>
      </c>
      <c r="BA26" s="195" t="s">
        <v>701</v>
      </c>
      <c r="BB26" s="200">
        <f>IFERROR(IF(LEFT(Minták!BM19,1)="&lt;",Minták!BM19,VALUE(Minták!BM19)),"ures")</f>
        <v>0.12</v>
      </c>
      <c r="BC26" s="201">
        <f>IFERROR(IF(LEFT(Minták!BN19,1)="&lt;",Minták!BN19,VALUE(Minták!BN19)),"ures")</f>
        <v>3.74</v>
      </c>
      <c r="BD26" s="201">
        <f>IFERROR(IF(LEFT(Minták!BO19,1)="&lt;",Minták!BO19,VALUE(Minták!BO19)),"ures")</f>
        <v>0.14000000000000001</v>
      </c>
      <c r="BE26" s="201">
        <f>IFERROR(IF(LEFT(Minták!BP19,1)="&lt;",Minták!BP19,VALUE(Minták!BP19)),"ures")</f>
        <v>0.18</v>
      </c>
      <c r="BF26" s="201">
        <f>IFERROR(IF(LEFT(Minták!BQ19,1)="&lt;",Minták!BQ19,VALUE(Minták!BQ19)),"ures")</f>
        <v>0.2</v>
      </c>
      <c r="BG26" s="201">
        <f>IFERROR(IF(LEFT(Minták!BR19,1)="&lt;",Minták!BR19,VALUE(Minták!BR19)),"ures")</f>
        <v>24</v>
      </c>
      <c r="BH26" s="201">
        <f>IFERROR(IF(LEFT(Minták!BS19,1)="&lt;",Minták!BS19,VALUE(Minták!BS19)),"ures")</f>
        <v>1.5</v>
      </c>
      <c r="BI26" s="201">
        <f>IFERROR(IF(LEFT(Minták!BT19,1)="&lt;",Minták!BT19,VALUE(Minták!BT19)),"ures")</f>
        <v>148</v>
      </c>
      <c r="BJ26" s="201">
        <f>IFERROR(IF(LEFT(Minták!BU19,1)="&lt;",Minták!BU19,VALUE(Minták!BU19)),"ures")</f>
        <v>52.9</v>
      </c>
      <c r="BK26" s="201">
        <f>IFERROR(IF(LEFT(Minták!BV19,1)="&lt;",Minták!BV19,VALUE(Minták!BV19)),"ures")</f>
        <v>32.1</v>
      </c>
      <c r="BL26" s="201">
        <f>IFERROR(IF(LEFT(Minták!BW19,1)="&lt;",Minták!BW19,VALUE(Minták!BW19)),"ures")</f>
        <v>4.4000000000000004</v>
      </c>
      <c r="BM26" s="201">
        <f>IFERROR(IF(LEFT(Minták!BX19,1)="&lt;",Minták!BX19,VALUE(Minták!BX19)),"ures")</f>
        <v>7.3</v>
      </c>
      <c r="BN26" s="201">
        <f>IFERROR(IF(LEFT(Minták!BY19,1)="&lt;",Minták!BY19,VALUE(Minták!BY19)),"ures")</f>
        <v>470</v>
      </c>
      <c r="BO26" s="201">
        <f>IFERROR(IF(LEFT(Minták!BZ19,1)="&lt;",Minták!BZ19,VALUE(Minták!BZ19)),"ures")</f>
        <v>11.4</v>
      </c>
      <c r="BP26" s="201">
        <f>IFERROR(IF(LEFT(Minták!CA19,1)="&lt;",Minták!CA19,VALUE(Minták!CA19)),"ures")</f>
        <v>123</v>
      </c>
      <c r="BQ26" s="201">
        <f>IFERROR(IF(LEFT(Minták!CB19,1)="&lt;",Minták!CB19,VALUE(Minták!CB19)),"ures")</f>
        <v>0.38</v>
      </c>
      <c r="BR26" s="197" t="str">
        <f>IFERROR(Minták!CC19,"ures")</f>
        <v>szintelen</v>
      </c>
      <c r="BS26" s="197" t="str">
        <f>IFERROR(Minták!CD19,"ures")</f>
        <v>szagtalan</v>
      </c>
      <c r="BT26" s="197" t="str">
        <f>IFERROR(Minták!CE19,"ures")</f>
        <v>iztelen</v>
      </c>
      <c r="BU26" s="202">
        <f>IFERROR(IF(LEFT(Minták!CF19,1)="&lt;",Minták!CF19,VALUE(Minták!CF19)),"ures")</f>
        <v>268</v>
      </c>
      <c r="BV26" s="199" t="s">
        <v>701</v>
      </c>
      <c r="BW26" s="194" t="s">
        <v>701</v>
      </c>
      <c r="BX26" s="194" t="s">
        <v>701</v>
      </c>
      <c r="BY26" s="194" t="s">
        <v>701</v>
      </c>
      <c r="BZ26" s="194" t="s">
        <v>701</v>
      </c>
      <c r="CA26" s="194" t="s">
        <v>701</v>
      </c>
      <c r="CB26" s="194" t="s">
        <v>701</v>
      </c>
      <c r="CC26" s="194" t="s">
        <v>701</v>
      </c>
      <c r="CD26" s="194" t="s">
        <v>701</v>
      </c>
      <c r="CE26" s="194" t="s">
        <v>701</v>
      </c>
      <c r="CF26" s="194" t="s">
        <v>701</v>
      </c>
      <c r="CG26" s="194" t="s">
        <v>701</v>
      </c>
      <c r="CH26" s="194" t="s">
        <v>701</v>
      </c>
      <c r="CI26" s="194" t="s">
        <v>701</v>
      </c>
      <c r="CJ26" s="194" t="s">
        <v>701</v>
      </c>
      <c r="CK26" s="194" t="s">
        <v>701</v>
      </c>
      <c r="CL26" s="194" t="s">
        <v>701</v>
      </c>
      <c r="CM26" s="194" t="s">
        <v>701</v>
      </c>
      <c r="CN26" s="194" t="s">
        <v>701</v>
      </c>
      <c r="CO26" s="194" t="s">
        <v>701</v>
      </c>
      <c r="CP26" s="194" t="s">
        <v>701</v>
      </c>
      <c r="CQ26" s="194" t="s">
        <v>701</v>
      </c>
      <c r="CR26" s="194" t="s">
        <v>701</v>
      </c>
      <c r="CS26" s="194" t="s">
        <v>701</v>
      </c>
      <c r="CT26" s="194" t="s">
        <v>701</v>
      </c>
      <c r="CU26" s="194" t="s">
        <v>701</v>
      </c>
      <c r="CV26" s="194" t="s">
        <v>701</v>
      </c>
      <c r="CW26" s="194" t="s">
        <v>701</v>
      </c>
      <c r="CX26" s="194" t="s">
        <v>701</v>
      </c>
      <c r="CY26" s="194" t="s">
        <v>701</v>
      </c>
      <c r="CZ26" s="194" t="s">
        <v>701</v>
      </c>
      <c r="DA26" s="194" t="s">
        <v>701</v>
      </c>
      <c r="DB26" s="194" t="s">
        <v>701</v>
      </c>
      <c r="DC26" s="194" t="s">
        <v>701</v>
      </c>
      <c r="DD26" s="194" t="s">
        <v>701</v>
      </c>
      <c r="DE26" s="194" t="s">
        <v>701</v>
      </c>
      <c r="DF26" s="194" t="s">
        <v>701</v>
      </c>
      <c r="DG26" s="194" t="s">
        <v>701</v>
      </c>
      <c r="DH26" s="194" t="s">
        <v>701</v>
      </c>
      <c r="DI26" s="194" t="s">
        <v>701</v>
      </c>
      <c r="DJ26" s="194" t="s">
        <v>701</v>
      </c>
      <c r="DK26" s="194" t="s">
        <v>701</v>
      </c>
      <c r="DL26" s="194" t="s">
        <v>701</v>
      </c>
      <c r="DM26" s="194" t="s">
        <v>701</v>
      </c>
      <c r="DN26" s="194" t="s">
        <v>701</v>
      </c>
      <c r="DO26" s="194" t="s">
        <v>701</v>
      </c>
      <c r="DP26" s="194" t="s">
        <v>701</v>
      </c>
      <c r="DQ26" s="194" t="s">
        <v>701</v>
      </c>
      <c r="DR26" s="194" t="s">
        <v>701</v>
      </c>
      <c r="DS26" s="194" t="s">
        <v>701</v>
      </c>
      <c r="DT26" s="194" t="s">
        <v>701</v>
      </c>
      <c r="DU26" s="194" t="s">
        <v>701</v>
      </c>
      <c r="DV26" s="194" t="s">
        <v>701</v>
      </c>
      <c r="DW26" s="194" t="s">
        <v>701</v>
      </c>
      <c r="DX26" s="194" t="s">
        <v>701</v>
      </c>
      <c r="DY26" s="194" t="s">
        <v>701</v>
      </c>
      <c r="DZ26" s="194" t="s">
        <v>701</v>
      </c>
      <c r="EA26" s="194" t="s">
        <v>701</v>
      </c>
      <c r="EB26" s="194" t="s">
        <v>701</v>
      </c>
      <c r="EC26" s="194" t="s">
        <v>701</v>
      </c>
      <c r="ED26" s="194" t="s">
        <v>701</v>
      </c>
      <c r="EE26" s="194" t="s">
        <v>701</v>
      </c>
      <c r="EF26" s="194" t="s">
        <v>701</v>
      </c>
      <c r="EG26" s="194" t="s">
        <v>701</v>
      </c>
      <c r="EH26" s="194" t="s">
        <v>701</v>
      </c>
      <c r="EI26" s="194" t="s">
        <v>701</v>
      </c>
      <c r="EJ26" s="194" t="s">
        <v>701</v>
      </c>
      <c r="EK26" s="194" t="s">
        <v>701</v>
      </c>
      <c r="EL26" s="194" t="s">
        <v>701</v>
      </c>
      <c r="EM26" s="194" t="s">
        <v>701</v>
      </c>
      <c r="EN26" s="194" t="s">
        <v>701</v>
      </c>
      <c r="EO26" s="194" t="s">
        <v>701</v>
      </c>
      <c r="EP26" s="194" t="s">
        <v>701</v>
      </c>
      <c r="EQ26" s="194" t="s">
        <v>701</v>
      </c>
      <c r="ER26" s="194" t="s">
        <v>701</v>
      </c>
      <c r="ES26" s="194" t="s">
        <v>701</v>
      </c>
      <c r="ET26" s="194" t="s">
        <v>701</v>
      </c>
      <c r="EU26" s="194" t="s">
        <v>701</v>
      </c>
      <c r="EV26" s="194" t="s">
        <v>701</v>
      </c>
      <c r="EW26" s="194" t="s">
        <v>701</v>
      </c>
      <c r="EX26" s="194" t="s">
        <v>701</v>
      </c>
      <c r="EY26" s="194" t="s">
        <v>701</v>
      </c>
      <c r="EZ26" s="194" t="s">
        <v>701</v>
      </c>
      <c r="FA26" s="194" t="s">
        <v>701</v>
      </c>
      <c r="FB26" s="194" t="s">
        <v>701</v>
      </c>
      <c r="FC26" s="194" t="s">
        <v>701</v>
      </c>
      <c r="FD26" s="194" t="s">
        <v>701</v>
      </c>
      <c r="FE26" s="194" t="s">
        <v>701</v>
      </c>
      <c r="FF26" s="194" t="s">
        <v>701</v>
      </c>
      <c r="FG26" s="194" t="s">
        <v>701</v>
      </c>
      <c r="FH26" s="194" t="s">
        <v>701</v>
      </c>
      <c r="FI26" s="194" t="s">
        <v>701</v>
      </c>
      <c r="FJ26" s="194" t="s">
        <v>701</v>
      </c>
      <c r="FK26" s="194" t="s">
        <v>701</v>
      </c>
      <c r="FL26" s="194" t="s">
        <v>701</v>
      </c>
      <c r="FM26" s="194" t="s">
        <v>701</v>
      </c>
      <c r="FN26" s="194" t="s">
        <v>701</v>
      </c>
      <c r="FO26" s="194" t="s">
        <v>701</v>
      </c>
      <c r="FP26" s="194" t="s">
        <v>701</v>
      </c>
      <c r="FQ26" s="194" t="s">
        <v>701</v>
      </c>
      <c r="FR26" s="194" t="s">
        <v>701</v>
      </c>
      <c r="FS26" s="194" t="s">
        <v>701</v>
      </c>
      <c r="FT26" s="194" t="s">
        <v>701</v>
      </c>
      <c r="FU26" s="194" t="s">
        <v>701</v>
      </c>
      <c r="FV26" s="194" t="s">
        <v>701</v>
      </c>
      <c r="FW26" s="194" t="s">
        <v>701</v>
      </c>
      <c r="FX26" s="194" t="s">
        <v>701</v>
      </c>
      <c r="FY26" s="26" t="s">
        <v>511</v>
      </c>
    </row>
    <row r="27" spans="1:181" ht="16.149999999999999" customHeight="1" thickBot="1" x14ac:dyDescent="0.3">
      <c r="A27" s="186">
        <f>Minták!B20</f>
        <v>16</v>
      </c>
      <c r="B27" s="187"/>
      <c r="C27" s="22" t="str">
        <f>Minták!I20</f>
        <v>KUT</v>
      </c>
      <c r="D27" s="22">
        <f>Minták!J20</f>
        <v>20511827</v>
      </c>
      <c r="E27" s="188" t="s">
        <v>699</v>
      </c>
      <c r="F27" s="22" t="str">
        <f>Minták!L20</f>
        <v>U</v>
      </c>
      <c r="G27" s="189">
        <f>MV!L22</f>
        <v>45307</v>
      </c>
      <c r="H27" s="190">
        <f t="shared" si="0"/>
        <v>2024</v>
      </c>
      <c r="I27" s="190">
        <f t="shared" si="1"/>
        <v>1</v>
      </c>
      <c r="J27" s="1" t="str">
        <f>Minták!O20</f>
        <v>Aqua Szolgáltató Kft. Vizsgáló-laboratórium</v>
      </c>
      <c r="K27" s="25">
        <f>Minták!M20</f>
        <v>21889495</v>
      </c>
      <c r="L27" s="188" t="s">
        <v>699</v>
      </c>
      <c r="M27" s="24" t="str">
        <f>Minták!N20</f>
        <v>NAH-1-1650/2019</v>
      </c>
      <c r="N27" s="385">
        <f>Minták!E20</f>
        <v>45307</v>
      </c>
      <c r="O27" s="385">
        <f t="shared" si="2"/>
        <v>45307</v>
      </c>
      <c r="P27" s="385">
        <f>Minták!AU20</f>
        <v>45324</v>
      </c>
      <c r="Q27" s="22" t="str">
        <f>Minták!P20</f>
        <v>TERV</v>
      </c>
      <c r="R27" s="191" t="str">
        <f>Minták!Q20</f>
        <v>-</v>
      </c>
      <c r="S27" s="188" t="s">
        <v>699</v>
      </c>
      <c r="T27" s="26" t="str">
        <f>Minták!G20</f>
        <v>Hweeda</v>
      </c>
      <c r="U27" s="192"/>
      <c r="V27" s="192"/>
      <c r="W27" s="193" t="str">
        <f>Minták!F20</f>
        <v>4856 Qbuvuiydc Jyhjzbmb</v>
      </c>
      <c r="X27" s="25">
        <f>Minták!R20</f>
        <v>7916342868</v>
      </c>
      <c r="Y27" s="188" t="s">
        <v>699</v>
      </c>
      <c r="Z27" s="1" t="str">
        <f>Minták!S20</f>
        <v>na</v>
      </c>
      <c r="AA27" s="25" t="str">
        <f>Minták!T20</f>
        <v>na</v>
      </c>
      <c r="AB27" s="24" t="str">
        <f>Minták!U20</f>
        <v>na</v>
      </c>
      <c r="AC27" s="188" t="s">
        <v>699</v>
      </c>
      <c r="AD27" s="26" t="s">
        <v>44</v>
      </c>
      <c r="AE27" s="157" t="str">
        <f>Minták!X20</f>
        <v>-</v>
      </c>
      <c r="AF27" s="26"/>
      <c r="AG27" s="26"/>
      <c r="AH27" s="26"/>
      <c r="AI27" s="194" t="s">
        <v>701</v>
      </c>
      <c r="AJ27" s="194" t="s">
        <v>701</v>
      </c>
      <c r="AK27" s="194" t="s">
        <v>701</v>
      </c>
      <c r="AL27" s="194" t="s">
        <v>701</v>
      </c>
      <c r="AM27" s="194" t="s">
        <v>701</v>
      </c>
      <c r="AN27" s="194" t="s">
        <v>701</v>
      </c>
      <c r="AO27" s="194" t="s">
        <v>701</v>
      </c>
      <c r="AP27" s="194" t="s">
        <v>701</v>
      </c>
      <c r="AQ27" s="194" t="s">
        <v>701</v>
      </c>
      <c r="AR27" s="194" t="s">
        <v>701</v>
      </c>
      <c r="AS27" s="194" t="s">
        <v>701</v>
      </c>
      <c r="AT27" s="194" t="s">
        <v>701</v>
      </c>
      <c r="AU27" s="194" t="s">
        <v>701</v>
      </c>
      <c r="AV27" s="194" t="s">
        <v>701</v>
      </c>
      <c r="AW27" s="194" t="s">
        <v>701</v>
      </c>
      <c r="AX27" s="194" t="s">
        <v>701</v>
      </c>
      <c r="AY27" s="194" t="s">
        <v>701</v>
      </c>
      <c r="AZ27" s="194" t="s">
        <v>701</v>
      </c>
      <c r="BA27" s="195" t="s">
        <v>701</v>
      </c>
      <c r="BB27" s="203">
        <f>IFERROR(IF(LEFT(Minták!BM20,1)="&lt;",Minták!BM20,VALUE(Minták!BM20)),"ures")</f>
        <v>0.13</v>
      </c>
      <c r="BC27" s="204">
        <f>IFERROR(IF(LEFT(Minták!BN20,1)="&lt;",Minták!BN20,VALUE(Minták!BN20)),"ures")</f>
        <v>3.98</v>
      </c>
      <c r="BD27" s="204">
        <f>IFERROR(IF(LEFT(Minták!BO20,1)="&lt;",Minták!BO20,VALUE(Minták!BO20)),"ures")</f>
        <v>0.15</v>
      </c>
      <c r="BE27" s="204">
        <f>IFERROR(IF(LEFT(Minták!BP20,1)="&lt;",Minták!BP20,VALUE(Minták!BP20)),"ures")</f>
        <v>0.19</v>
      </c>
      <c r="BF27" s="204">
        <f>IFERROR(IF(LEFT(Minták!BQ20,1)="&lt;",Minták!BQ20,VALUE(Minták!BQ20)),"ures")</f>
        <v>0.21</v>
      </c>
      <c r="BG27" s="204">
        <f>IFERROR(IF(LEFT(Minták!BR20,1)="&lt;",Minták!BR20,VALUE(Minták!BR20)),"ures")</f>
        <v>25</v>
      </c>
      <c r="BH27" s="204">
        <f>IFERROR(IF(LEFT(Minták!BS20,1)="&lt;",Minták!BS20,VALUE(Minták!BS20)),"ures")</f>
        <v>1.6</v>
      </c>
      <c r="BI27" s="204">
        <f>IFERROR(IF(LEFT(Minták!BT20,1)="&lt;",Minták!BT20,VALUE(Minták!BT20)),"ures")</f>
        <v>150</v>
      </c>
      <c r="BJ27" s="204">
        <f>IFERROR(IF(LEFT(Minták!BU20,1)="&lt;",Minták!BU20,VALUE(Minták!BU20)),"ures")</f>
        <v>53.6</v>
      </c>
      <c r="BK27" s="204">
        <f>IFERROR(IF(LEFT(Minták!BV20,1)="&lt;",Minták!BV20,VALUE(Minták!BV20)),"ures")</f>
        <v>32.5</v>
      </c>
      <c r="BL27" s="204">
        <f>IFERROR(IF(LEFT(Minták!BW20,1)="&lt;",Minták!BW20,VALUE(Minták!BW20)),"ures")</f>
        <v>4.5</v>
      </c>
      <c r="BM27" s="204">
        <f>IFERROR(IF(LEFT(Minták!BX20,1)="&lt;",Minták!BX20,VALUE(Minták!BX20)),"ures")</f>
        <v>7.32</v>
      </c>
      <c r="BN27" s="204">
        <f>IFERROR(IF(LEFT(Minták!BY20,1)="&lt;",Minták!BY20,VALUE(Minták!BY20)),"ures")</f>
        <v>475</v>
      </c>
      <c r="BO27" s="204">
        <f>IFERROR(IF(LEFT(Minták!BZ20,1)="&lt;",Minták!BZ20,VALUE(Minták!BZ20)),"ures")</f>
        <v>11.5</v>
      </c>
      <c r="BP27" s="204">
        <f>IFERROR(IF(LEFT(Minták!CA20,1)="&lt;",Minták!CA20,VALUE(Minták!CA20)),"ures")</f>
        <v>132</v>
      </c>
      <c r="BQ27" s="204">
        <f>IFERROR(IF(LEFT(Minták!CB20,1)="&lt;",Minták!CB20,VALUE(Minták!CB20)),"ures")</f>
        <v>0.4</v>
      </c>
      <c r="BR27" s="197" t="str">
        <f>IFERROR(Minták!CC20,"ures")</f>
        <v>szintelen</v>
      </c>
      <c r="BS27" s="197" t="str">
        <f>IFERROR(Minták!CD20,"ures")</f>
        <v>szagtalan</v>
      </c>
      <c r="BT27" s="197" t="str">
        <f>IFERROR(Minták!CE20,"ures")</f>
        <v>iztelen</v>
      </c>
      <c r="BU27" s="205">
        <f>IFERROR(IF(LEFT(Minták!CF20,1)="&lt;",Minták!CF20,VALUE(Minták!CF20)),"ures")</f>
        <v>275</v>
      </c>
      <c r="BV27" s="199" t="s">
        <v>701</v>
      </c>
      <c r="BW27" s="194" t="s">
        <v>701</v>
      </c>
      <c r="BX27" s="194" t="s">
        <v>701</v>
      </c>
      <c r="BY27" s="194" t="s">
        <v>701</v>
      </c>
      <c r="BZ27" s="194" t="s">
        <v>701</v>
      </c>
      <c r="CA27" s="194" t="s">
        <v>701</v>
      </c>
      <c r="CB27" s="194" t="s">
        <v>701</v>
      </c>
      <c r="CC27" s="194" t="s">
        <v>701</v>
      </c>
      <c r="CD27" s="194" t="s">
        <v>701</v>
      </c>
      <c r="CE27" s="194" t="s">
        <v>701</v>
      </c>
      <c r="CF27" s="194" t="s">
        <v>701</v>
      </c>
      <c r="CG27" s="194" t="s">
        <v>701</v>
      </c>
      <c r="CH27" s="194" t="s">
        <v>701</v>
      </c>
      <c r="CI27" s="194" t="s">
        <v>701</v>
      </c>
      <c r="CJ27" s="194" t="s">
        <v>701</v>
      </c>
      <c r="CK27" s="194" t="s">
        <v>701</v>
      </c>
      <c r="CL27" s="194" t="s">
        <v>701</v>
      </c>
      <c r="CM27" s="194" t="s">
        <v>701</v>
      </c>
      <c r="CN27" s="194" t="s">
        <v>701</v>
      </c>
      <c r="CO27" s="194" t="s">
        <v>701</v>
      </c>
      <c r="CP27" s="194" t="s">
        <v>701</v>
      </c>
      <c r="CQ27" s="194" t="s">
        <v>701</v>
      </c>
      <c r="CR27" s="194" t="s">
        <v>701</v>
      </c>
      <c r="CS27" s="194" t="s">
        <v>701</v>
      </c>
      <c r="CT27" s="194" t="s">
        <v>701</v>
      </c>
      <c r="CU27" s="194" t="s">
        <v>701</v>
      </c>
      <c r="CV27" s="194" t="s">
        <v>701</v>
      </c>
      <c r="CW27" s="194" t="s">
        <v>701</v>
      </c>
      <c r="CX27" s="194" t="s">
        <v>701</v>
      </c>
      <c r="CY27" s="194" t="s">
        <v>701</v>
      </c>
      <c r="CZ27" s="194" t="s">
        <v>701</v>
      </c>
      <c r="DA27" s="194" t="s">
        <v>701</v>
      </c>
      <c r="DB27" s="194" t="s">
        <v>701</v>
      </c>
      <c r="DC27" s="194" t="s">
        <v>701</v>
      </c>
      <c r="DD27" s="194" t="s">
        <v>701</v>
      </c>
      <c r="DE27" s="194" t="s">
        <v>701</v>
      </c>
      <c r="DF27" s="194" t="s">
        <v>701</v>
      </c>
      <c r="DG27" s="194" t="s">
        <v>701</v>
      </c>
      <c r="DH27" s="194" t="s">
        <v>701</v>
      </c>
      <c r="DI27" s="194" t="s">
        <v>701</v>
      </c>
      <c r="DJ27" s="194" t="s">
        <v>701</v>
      </c>
      <c r="DK27" s="194" t="s">
        <v>701</v>
      </c>
      <c r="DL27" s="194" t="s">
        <v>701</v>
      </c>
      <c r="DM27" s="194" t="s">
        <v>701</v>
      </c>
      <c r="DN27" s="194" t="s">
        <v>701</v>
      </c>
      <c r="DO27" s="194" t="s">
        <v>701</v>
      </c>
      <c r="DP27" s="194" t="s">
        <v>701</v>
      </c>
      <c r="DQ27" s="194" t="s">
        <v>701</v>
      </c>
      <c r="DR27" s="194" t="s">
        <v>701</v>
      </c>
      <c r="DS27" s="194" t="s">
        <v>701</v>
      </c>
      <c r="DT27" s="194" t="s">
        <v>701</v>
      </c>
      <c r="DU27" s="194" t="s">
        <v>701</v>
      </c>
      <c r="DV27" s="194" t="s">
        <v>701</v>
      </c>
      <c r="DW27" s="194" t="s">
        <v>701</v>
      </c>
      <c r="DX27" s="194" t="s">
        <v>701</v>
      </c>
      <c r="DY27" s="194" t="s">
        <v>701</v>
      </c>
      <c r="DZ27" s="194" t="s">
        <v>701</v>
      </c>
      <c r="EA27" s="194" t="s">
        <v>701</v>
      </c>
      <c r="EB27" s="194" t="s">
        <v>701</v>
      </c>
      <c r="EC27" s="194" t="s">
        <v>701</v>
      </c>
      <c r="ED27" s="194" t="s">
        <v>701</v>
      </c>
      <c r="EE27" s="194" t="s">
        <v>701</v>
      </c>
      <c r="EF27" s="194" t="s">
        <v>701</v>
      </c>
      <c r="EG27" s="194" t="s">
        <v>701</v>
      </c>
      <c r="EH27" s="194" t="s">
        <v>701</v>
      </c>
      <c r="EI27" s="194" t="s">
        <v>701</v>
      </c>
      <c r="EJ27" s="194" t="s">
        <v>701</v>
      </c>
      <c r="EK27" s="194" t="s">
        <v>701</v>
      </c>
      <c r="EL27" s="194" t="s">
        <v>701</v>
      </c>
      <c r="EM27" s="194" t="s">
        <v>701</v>
      </c>
      <c r="EN27" s="194" t="s">
        <v>701</v>
      </c>
      <c r="EO27" s="194" t="s">
        <v>701</v>
      </c>
      <c r="EP27" s="194" t="s">
        <v>701</v>
      </c>
      <c r="EQ27" s="194" t="s">
        <v>701</v>
      </c>
      <c r="ER27" s="194" t="s">
        <v>701</v>
      </c>
      <c r="ES27" s="194" t="s">
        <v>701</v>
      </c>
      <c r="ET27" s="194" t="s">
        <v>701</v>
      </c>
      <c r="EU27" s="194" t="s">
        <v>701</v>
      </c>
      <c r="EV27" s="194" t="s">
        <v>701</v>
      </c>
      <c r="EW27" s="194" t="s">
        <v>701</v>
      </c>
      <c r="EX27" s="194" t="s">
        <v>701</v>
      </c>
      <c r="EY27" s="194" t="s">
        <v>701</v>
      </c>
      <c r="EZ27" s="194" t="s">
        <v>701</v>
      </c>
      <c r="FA27" s="194" t="s">
        <v>701</v>
      </c>
      <c r="FB27" s="194" t="s">
        <v>701</v>
      </c>
      <c r="FC27" s="194" t="s">
        <v>701</v>
      </c>
      <c r="FD27" s="194" t="s">
        <v>701</v>
      </c>
      <c r="FE27" s="194" t="s">
        <v>701</v>
      </c>
      <c r="FF27" s="194" t="s">
        <v>701</v>
      </c>
      <c r="FG27" s="194" t="s">
        <v>701</v>
      </c>
      <c r="FH27" s="194" t="s">
        <v>701</v>
      </c>
      <c r="FI27" s="194" t="s">
        <v>701</v>
      </c>
      <c r="FJ27" s="194" t="s">
        <v>701</v>
      </c>
      <c r="FK27" s="194" t="s">
        <v>701</v>
      </c>
      <c r="FL27" s="194" t="s">
        <v>701</v>
      </c>
      <c r="FM27" s="194" t="s">
        <v>701</v>
      </c>
      <c r="FN27" s="194" t="s">
        <v>701</v>
      </c>
      <c r="FO27" s="194" t="s">
        <v>701</v>
      </c>
      <c r="FP27" s="194" t="s">
        <v>701</v>
      </c>
      <c r="FQ27" s="194" t="s">
        <v>701</v>
      </c>
      <c r="FR27" s="194" t="s">
        <v>701</v>
      </c>
      <c r="FS27" s="194" t="s">
        <v>701</v>
      </c>
      <c r="FT27" s="194" t="s">
        <v>701</v>
      </c>
      <c r="FU27" s="194" t="s">
        <v>701</v>
      </c>
      <c r="FV27" s="194" t="s">
        <v>701</v>
      </c>
      <c r="FW27" s="194" t="s">
        <v>701</v>
      </c>
      <c r="FX27" s="194" t="s">
        <v>701</v>
      </c>
      <c r="FY27" s="26" t="s">
        <v>511</v>
      </c>
    </row>
    <row r="28" spans="1:181" ht="18" customHeight="1" x14ac:dyDescent="0.25">
      <c r="A28" s="26" t="s">
        <v>511</v>
      </c>
      <c r="B28" s="26" t="s">
        <v>511</v>
      </c>
      <c r="C28" s="26" t="s">
        <v>511</v>
      </c>
      <c r="D28" s="26" t="s">
        <v>511</v>
      </c>
      <c r="E28" s="26" t="s">
        <v>511</v>
      </c>
      <c r="F28" s="26" t="s">
        <v>511</v>
      </c>
      <c r="G28" s="26" t="s">
        <v>511</v>
      </c>
      <c r="H28" s="26" t="s">
        <v>511</v>
      </c>
      <c r="I28" s="26" t="s">
        <v>511</v>
      </c>
      <c r="J28" s="26" t="s">
        <v>511</v>
      </c>
      <c r="K28" s="26" t="s">
        <v>511</v>
      </c>
      <c r="L28" s="26" t="s">
        <v>511</v>
      </c>
      <c r="M28" s="26" t="s">
        <v>511</v>
      </c>
      <c r="N28" s="26" t="s">
        <v>511</v>
      </c>
      <c r="O28" s="26" t="s">
        <v>511</v>
      </c>
      <c r="P28" s="26" t="s">
        <v>511</v>
      </c>
      <c r="Q28" s="26" t="s">
        <v>511</v>
      </c>
      <c r="R28" s="26" t="s">
        <v>511</v>
      </c>
      <c r="S28" s="26" t="s">
        <v>511</v>
      </c>
      <c r="T28" s="26" t="s">
        <v>511</v>
      </c>
      <c r="U28" s="26" t="s">
        <v>511</v>
      </c>
      <c r="V28" s="26" t="s">
        <v>511</v>
      </c>
      <c r="W28" s="26" t="s">
        <v>511</v>
      </c>
      <c r="X28" s="26" t="s">
        <v>511</v>
      </c>
      <c r="Y28" s="26" t="s">
        <v>511</v>
      </c>
      <c r="Z28" s="26" t="s">
        <v>511</v>
      </c>
      <c r="AA28" s="26" t="s">
        <v>511</v>
      </c>
      <c r="AB28" s="26" t="s">
        <v>511</v>
      </c>
      <c r="AC28" s="26" t="s">
        <v>511</v>
      </c>
      <c r="AD28" s="26" t="s">
        <v>511</v>
      </c>
      <c r="AE28" s="26" t="s">
        <v>511</v>
      </c>
      <c r="AF28" s="26" t="s">
        <v>511</v>
      </c>
      <c r="AG28" s="26" t="s">
        <v>511</v>
      </c>
      <c r="AH28" s="26" t="s">
        <v>511</v>
      </c>
      <c r="AI28" s="26" t="s">
        <v>511</v>
      </c>
      <c r="AJ28" s="26" t="s">
        <v>511</v>
      </c>
      <c r="AK28" s="26" t="s">
        <v>511</v>
      </c>
      <c r="AL28" s="26" t="s">
        <v>511</v>
      </c>
      <c r="AM28" s="26" t="s">
        <v>511</v>
      </c>
      <c r="AN28" s="26" t="s">
        <v>511</v>
      </c>
      <c r="AO28" s="26" t="s">
        <v>511</v>
      </c>
      <c r="AP28" s="26" t="s">
        <v>511</v>
      </c>
      <c r="AQ28" s="26" t="s">
        <v>511</v>
      </c>
      <c r="AR28" s="26" t="s">
        <v>511</v>
      </c>
      <c r="AS28" s="26" t="s">
        <v>511</v>
      </c>
      <c r="AT28" s="26" t="s">
        <v>511</v>
      </c>
      <c r="AU28" s="26" t="s">
        <v>511</v>
      </c>
      <c r="AV28" s="26" t="s">
        <v>511</v>
      </c>
      <c r="AW28" s="26" t="s">
        <v>511</v>
      </c>
      <c r="AX28" s="26" t="s">
        <v>511</v>
      </c>
      <c r="AY28" s="26" t="s">
        <v>511</v>
      </c>
      <c r="AZ28" s="26" t="s">
        <v>511</v>
      </c>
      <c r="BA28" s="26" t="s">
        <v>511</v>
      </c>
      <c r="BB28" s="26" t="s">
        <v>511</v>
      </c>
      <c r="BC28" s="26" t="s">
        <v>511</v>
      </c>
      <c r="BD28" s="26" t="s">
        <v>511</v>
      </c>
      <c r="BE28" s="26" t="s">
        <v>511</v>
      </c>
      <c r="BF28" s="26" t="s">
        <v>511</v>
      </c>
      <c r="BG28" s="26" t="s">
        <v>511</v>
      </c>
      <c r="BH28" s="26" t="s">
        <v>511</v>
      </c>
      <c r="BI28" s="26" t="s">
        <v>511</v>
      </c>
      <c r="BJ28" s="26" t="s">
        <v>511</v>
      </c>
      <c r="BK28" s="26" t="s">
        <v>511</v>
      </c>
      <c r="BL28" s="26" t="s">
        <v>511</v>
      </c>
      <c r="BM28" s="26" t="s">
        <v>511</v>
      </c>
      <c r="BN28" s="26" t="s">
        <v>511</v>
      </c>
      <c r="BO28" s="26" t="s">
        <v>511</v>
      </c>
      <c r="BP28" s="26" t="s">
        <v>511</v>
      </c>
      <c r="BQ28" s="26" t="s">
        <v>511</v>
      </c>
      <c r="BR28" s="26" t="s">
        <v>511</v>
      </c>
      <c r="BS28" s="26" t="s">
        <v>511</v>
      </c>
      <c r="BT28" s="26" t="s">
        <v>511</v>
      </c>
      <c r="BU28" s="26" t="s">
        <v>511</v>
      </c>
      <c r="BV28" s="26" t="s">
        <v>511</v>
      </c>
      <c r="BW28" s="26" t="s">
        <v>511</v>
      </c>
      <c r="BX28" s="26" t="s">
        <v>511</v>
      </c>
      <c r="BY28" s="26" t="s">
        <v>511</v>
      </c>
      <c r="BZ28" s="26" t="s">
        <v>511</v>
      </c>
      <c r="CA28" s="26" t="s">
        <v>511</v>
      </c>
      <c r="CB28" s="26" t="s">
        <v>511</v>
      </c>
      <c r="CC28" s="26" t="s">
        <v>511</v>
      </c>
      <c r="CD28" s="26" t="s">
        <v>511</v>
      </c>
      <c r="CE28" s="26" t="s">
        <v>511</v>
      </c>
      <c r="CF28" s="26" t="s">
        <v>511</v>
      </c>
      <c r="CG28" s="26" t="s">
        <v>511</v>
      </c>
      <c r="CH28" s="26" t="s">
        <v>511</v>
      </c>
      <c r="CI28" s="26" t="s">
        <v>511</v>
      </c>
      <c r="CJ28" s="26" t="s">
        <v>511</v>
      </c>
      <c r="CK28" s="26" t="s">
        <v>511</v>
      </c>
      <c r="CL28" s="26" t="s">
        <v>511</v>
      </c>
      <c r="CM28" s="26" t="s">
        <v>511</v>
      </c>
      <c r="CN28" s="26" t="s">
        <v>511</v>
      </c>
      <c r="CO28" s="26" t="s">
        <v>511</v>
      </c>
      <c r="CP28" s="26" t="s">
        <v>511</v>
      </c>
      <c r="CQ28" s="26" t="s">
        <v>511</v>
      </c>
      <c r="CR28" s="26" t="s">
        <v>511</v>
      </c>
      <c r="CS28" s="26" t="s">
        <v>511</v>
      </c>
      <c r="CT28" s="26" t="s">
        <v>511</v>
      </c>
      <c r="CU28" s="26" t="s">
        <v>511</v>
      </c>
      <c r="CV28" s="26" t="s">
        <v>511</v>
      </c>
      <c r="CW28" s="26" t="s">
        <v>511</v>
      </c>
      <c r="CX28" s="26" t="s">
        <v>511</v>
      </c>
      <c r="CY28" s="26" t="s">
        <v>511</v>
      </c>
      <c r="CZ28" s="26" t="s">
        <v>511</v>
      </c>
      <c r="DA28" s="26" t="s">
        <v>511</v>
      </c>
      <c r="DB28" s="26" t="s">
        <v>511</v>
      </c>
      <c r="DC28" s="26" t="s">
        <v>511</v>
      </c>
      <c r="DD28" s="26" t="s">
        <v>511</v>
      </c>
      <c r="DE28" s="26" t="s">
        <v>511</v>
      </c>
      <c r="DF28" s="26" t="s">
        <v>511</v>
      </c>
      <c r="DG28" s="26" t="s">
        <v>511</v>
      </c>
      <c r="DH28" s="26" t="s">
        <v>511</v>
      </c>
      <c r="DI28" s="26" t="s">
        <v>511</v>
      </c>
      <c r="DJ28" s="26" t="s">
        <v>511</v>
      </c>
      <c r="DK28" s="26" t="s">
        <v>511</v>
      </c>
      <c r="DL28" s="26" t="s">
        <v>511</v>
      </c>
      <c r="DM28" s="26" t="s">
        <v>511</v>
      </c>
      <c r="DN28" s="26" t="s">
        <v>511</v>
      </c>
      <c r="DO28" s="26" t="s">
        <v>511</v>
      </c>
      <c r="DP28" s="26" t="s">
        <v>511</v>
      </c>
      <c r="DQ28" s="26" t="s">
        <v>511</v>
      </c>
      <c r="DR28" s="26" t="s">
        <v>511</v>
      </c>
      <c r="DS28" s="26" t="s">
        <v>511</v>
      </c>
      <c r="DT28" s="26" t="s">
        <v>511</v>
      </c>
      <c r="DU28" s="26" t="s">
        <v>511</v>
      </c>
      <c r="DV28" s="26" t="s">
        <v>511</v>
      </c>
      <c r="DW28" s="26" t="s">
        <v>511</v>
      </c>
      <c r="DX28" s="26" t="s">
        <v>511</v>
      </c>
      <c r="DY28" s="26" t="s">
        <v>511</v>
      </c>
      <c r="DZ28" s="26" t="s">
        <v>511</v>
      </c>
      <c r="EA28" s="26" t="s">
        <v>511</v>
      </c>
      <c r="EB28" s="26" t="s">
        <v>511</v>
      </c>
      <c r="EC28" s="26" t="s">
        <v>511</v>
      </c>
      <c r="ED28" s="26" t="s">
        <v>511</v>
      </c>
      <c r="EE28" s="26" t="s">
        <v>511</v>
      </c>
      <c r="EF28" s="26" t="s">
        <v>511</v>
      </c>
      <c r="EG28" s="26" t="s">
        <v>511</v>
      </c>
      <c r="EH28" s="26" t="s">
        <v>511</v>
      </c>
      <c r="EI28" s="26" t="s">
        <v>511</v>
      </c>
      <c r="EJ28" s="26" t="s">
        <v>511</v>
      </c>
      <c r="EK28" s="26" t="s">
        <v>511</v>
      </c>
      <c r="EL28" s="26" t="s">
        <v>511</v>
      </c>
      <c r="EM28" s="26" t="s">
        <v>511</v>
      </c>
      <c r="EN28" s="26" t="s">
        <v>511</v>
      </c>
      <c r="EO28" s="26" t="s">
        <v>511</v>
      </c>
      <c r="EP28" s="26" t="s">
        <v>511</v>
      </c>
      <c r="EQ28" s="26" t="s">
        <v>511</v>
      </c>
      <c r="ER28" s="26" t="s">
        <v>511</v>
      </c>
      <c r="ES28" s="26" t="s">
        <v>511</v>
      </c>
      <c r="ET28" s="26" t="s">
        <v>511</v>
      </c>
      <c r="EU28" s="26" t="s">
        <v>511</v>
      </c>
      <c r="EV28" s="26" t="s">
        <v>511</v>
      </c>
      <c r="EW28" s="26" t="s">
        <v>511</v>
      </c>
      <c r="EX28" s="26" t="s">
        <v>511</v>
      </c>
      <c r="EY28" s="26" t="s">
        <v>511</v>
      </c>
      <c r="EZ28" s="26" t="s">
        <v>511</v>
      </c>
      <c r="FA28" s="26" t="s">
        <v>511</v>
      </c>
      <c r="FB28" s="26" t="s">
        <v>511</v>
      </c>
      <c r="FC28" s="26" t="s">
        <v>511</v>
      </c>
      <c r="FD28" s="26" t="s">
        <v>511</v>
      </c>
      <c r="FE28" s="26" t="s">
        <v>511</v>
      </c>
      <c r="FF28" s="26" t="s">
        <v>511</v>
      </c>
      <c r="FG28" s="26" t="s">
        <v>511</v>
      </c>
      <c r="FH28" s="26" t="s">
        <v>511</v>
      </c>
      <c r="FI28" s="26" t="s">
        <v>511</v>
      </c>
      <c r="FJ28" s="26" t="s">
        <v>511</v>
      </c>
      <c r="FK28" s="26" t="s">
        <v>511</v>
      </c>
      <c r="FL28" s="26" t="s">
        <v>511</v>
      </c>
      <c r="FM28" s="26" t="s">
        <v>511</v>
      </c>
      <c r="FN28" s="26" t="s">
        <v>511</v>
      </c>
      <c r="FO28" s="26" t="s">
        <v>511</v>
      </c>
      <c r="FP28" s="26" t="s">
        <v>511</v>
      </c>
      <c r="FQ28" s="26" t="s">
        <v>511</v>
      </c>
      <c r="FR28" s="26" t="s">
        <v>511</v>
      </c>
      <c r="FS28" s="26" t="s">
        <v>511</v>
      </c>
      <c r="FT28" s="26" t="s">
        <v>511</v>
      </c>
      <c r="FU28" s="26" t="s">
        <v>511</v>
      </c>
      <c r="FV28" s="26" t="s">
        <v>511</v>
      </c>
      <c r="FW28" s="26" t="s">
        <v>511</v>
      </c>
      <c r="FX28" s="26" t="s">
        <v>511</v>
      </c>
      <c r="FY28" s="26" t="s">
        <v>511</v>
      </c>
    </row>
    <row r="29" spans="1:181" ht="18" customHeight="1" x14ac:dyDescent="0.25"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R29"/>
      <c r="DS29"/>
      <c r="DT29"/>
      <c r="DU29"/>
      <c r="DV29"/>
      <c r="DW29"/>
      <c r="DX29"/>
      <c r="DY29"/>
      <c r="DZ29"/>
      <c r="EA29"/>
    </row>
    <row r="30" spans="1:181" ht="18" customHeight="1" x14ac:dyDescent="0.25">
      <c r="G30" s="319"/>
      <c r="J30" s="319"/>
      <c r="K30" s="319"/>
      <c r="L30" s="319"/>
      <c r="M30" s="319"/>
      <c r="N30" s="319"/>
      <c r="O30" s="319"/>
      <c r="P30" s="319"/>
    </row>
    <row r="31" spans="1:181" ht="18" customHeight="1" x14ac:dyDescent="0.25">
      <c r="G31" s="319"/>
      <c r="J31" s="319"/>
      <c r="K31" s="319"/>
      <c r="L31" s="319"/>
      <c r="M31" s="319"/>
      <c r="N31" s="319"/>
      <c r="O31" s="319"/>
      <c r="P31" s="319"/>
    </row>
    <row r="32" spans="1:181" ht="18" customHeight="1" x14ac:dyDescent="0.25">
      <c r="G32" s="319"/>
      <c r="J32" s="319"/>
      <c r="K32" s="319"/>
      <c r="L32" s="319"/>
      <c r="M32" s="319"/>
      <c r="N32" s="319"/>
      <c r="O32" s="319"/>
      <c r="P32" s="319"/>
    </row>
    <row r="33" spans="7:16" ht="18" customHeight="1" x14ac:dyDescent="0.25">
      <c r="G33" s="319"/>
      <c r="J33" s="319"/>
      <c r="K33" s="319"/>
      <c r="L33" s="319"/>
      <c r="M33" s="319"/>
      <c r="N33" s="319"/>
      <c r="O33" s="319"/>
      <c r="P33" s="319"/>
    </row>
    <row r="34" spans="7:16" ht="18" customHeight="1" x14ac:dyDescent="0.25">
      <c r="G34" s="319"/>
      <c r="J34" s="319"/>
      <c r="K34" s="319"/>
      <c r="L34" s="319"/>
      <c r="M34" s="319"/>
      <c r="N34" s="319"/>
      <c r="O34" s="319"/>
      <c r="P34" s="319"/>
    </row>
    <row r="35" spans="7:16" ht="18" customHeight="1" x14ac:dyDescent="0.25">
      <c r="G35" s="319"/>
      <c r="J35" s="319"/>
      <c r="K35" s="319"/>
      <c r="L35" s="319"/>
      <c r="M35" s="319"/>
      <c r="N35" s="319"/>
      <c r="O35" s="319"/>
      <c r="P35" s="319"/>
    </row>
    <row r="36" spans="7:16" ht="18" customHeight="1" x14ac:dyDescent="0.25">
      <c r="G36" s="319"/>
      <c r="J36" s="319"/>
      <c r="K36" s="319"/>
      <c r="L36" s="319"/>
      <c r="M36" s="319"/>
      <c r="N36" s="319"/>
      <c r="O36" s="319"/>
      <c r="P36" s="319"/>
    </row>
    <row r="37" spans="7:16" ht="18" customHeight="1" x14ac:dyDescent="0.25">
      <c r="G37" s="319"/>
      <c r="J37" s="319"/>
      <c r="K37" s="319"/>
      <c r="L37" s="319"/>
      <c r="M37" s="319"/>
      <c r="N37" s="319"/>
      <c r="O37" s="319"/>
      <c r="P37" s="319"/>
    </row>
    <row r="38" spans="7:16" ht="18" customHeight="1" x14ac:dyDescent="0.25">
      <c r="G38" s="319"/>
      <c r="J38" s="319"/>
      <c r="K38" s="319"/>
      <c r="L38" s="319"/>
      <c r="M38" s="319"/>
      <c r="N38" s="319"/>
      <c r="O38" s="319"/>
      <c r="P38" s="319"/>
    </row>
    <row r="39" spans="7:16" ht="18" customHeight="1" x14ac:dyDescent="0.25">
      <c r="G39" s="319"/>
      <c r="J39" s="319"/>
      <c r="K39" s="319"/>
      <c r="L39" s="319"/>
      <c r="M39" s="319"/>
      <c r="N39" s="319"/>
      <c r="O39" s="319"/>
      <c r="P39" s="319"/>
    </row>
    <row r="40" spans="7:16" ht="18" customHeight="1" x14ac:dyDescent="0.25">
      <c r="G40" s="319"/>
      <c r="J40" s="319"/>
      <c r="K40" s="319"/>
      <c r="L40" s="319"/>
      <c r="M40" s="319"/>
      <c r="N40" s="319"/>
      <c r="O40" s="319"/>
      <c r="P40" s="319"/>
    </row>
    <row r="41" spans="7:16" ht="18" customHeight="1" x14ac:dyDescent="0.25">
      <c r="G41" s="319"/>
      <c r="J41" s="319"/>
      <c r="K41" s="319"/>
      <c r="L41" s="319"/>
      <c r="M41" s="319"/>
      <c r="N41" s="319"/>
      <c r="O41" s="319"/>
      <c r="P41" s="319"/>
    </row>
    <row r="42" spans="7:16" ht="18" customHeight="1" x14ac:dyDescent="0.25">
      <c r="G42" s="319"/>
      <c r="J42" s="319"/>
      <c r="K42" s="319"/>
      <c r="L42" s="319"/>
      <c r="M42" s="319"/>
      <c r="N42" s="319"/>
      <c r="O42" s="319"/>
      <c r="P42" s="319"/>
    </row>
    <row r="43" spans="7:16" ht="18" customHeight="1" x14ac:dyDescent="0.25">
      <c r="G43" s="319"/>
      <c r="J43" s="319"/>
      <c r="K43" s="319"/>
      <c r="L43" s="319"/>
      <c r="M43" s="319"/>
      <c r="N43" s="319"/>
      <c r="O43" s="319"/>
      <c r="P43" s="319"/>
    </row>
    <row r="44" spans="7:16" ht="18" customHeight="1" x14ac:dyDescent="0.25">
      <c r="G44" s="319"/>
      <c r="J44" s="319"/>
      <c r="K44" s="319"/>
      <c r="L44" s="319"/>
      <c r="M44" s="319"/>
      <c r="N44" s="319"/>
      <c r="O44" s="319"/>
      <c r="P44" s="319"/>
    </row>
    <row r="45" spans="7:16" ht="18" customHeight="1" x14ac:dyDescent="0.25">
      <c r="G45" s="319"/>
      <c r="J45" s="319"/>
      <c r="K45" s="319"/>
      <c r="L45" s="319"/>
      <c r="M45" s="319"/>
      <c r="N45" s="319"/>
      <c r="O45" s="319"/>
      <c r="P45" s="319"/>
    </row>
  </sheetData>
  <mergeCells count="19">
    <mergeCell ref="B9:B10"/>
    <mergeCell ref="C9:C10"/>
    <mergeCell ref="D9:E10"/>
    <mergeCell ref="F9:F10"/>
    <mergeCell ref="G9:I10"/>
    <mergeCell ref="AF5:AG8"/>
    <mergeCell ref="AF9:AG11"/>
    <mergeCell ref="R10:R11"/>
    <mergeCell ref="S10:S11"/>
    <mergeCell ref="Z10:Z11"/>
    <mergeCell ref="Z9:AC9"/>
    <mergeCell ref="A8:AE8"/>
    <mergeCell ref="AA10:AB10"/>
    <mergeCell ref="AC10:AC11"/>
    <mergeCell ref="J9:P10"/>
    <mergeCell ref="Q9:S9"/>
    <mergeCell ref="T9:Y10"/>
    <mergeCell ref="AD9:AD11"/>
    <mergeCell ref="AE9:AE11"/>
  </mergeCells>
  <conditionalFormatting sqref="AI18:BA27">
    <cfRule type="cellIs" dxfId="6" priority="55" operator="notEqual">
      <formula>"ures"</formula>
    </cfRule>
  </conditionalFormatting>
  <conditionalFormatting sqref="AI12:BA17">
    <cfRule type="cellIs" dxfId="5" priority="54" operator="notEqual">
      <formula>"ures"</formula>
    </cfRule>
  </conditionalFormatting>
  <conditionalFormatting sqref="BV18:FX27">
    <cfRule type="cellIs" dxfId="4" priority="53" operator="notEqual">
      <formula>"ures"</formula>
    </cfRule>
  </conditionalFormatting>
  <conditionalFormatting sqref="BV12:FX17">
    <cfRule type="cellIs" dxfId="3" priority="52" operator="notEqual">
      <formula>"ures"</formula>
    </cfRule>
  </conditionalFormatting>
  <conditionalFormatting sqref="BB12:BU27">
    <cfRule type="cellIs" dxfId="2" priority="51" operator="notEqual">
      <formula>"ures"</formula>
    </cfRule>
  </conditionalFormatting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3F3D1-EF9A-4E29-BA96-943DC9B77DAD}">
  <sheetPr codeName="Munka14"/>
  <dimension ref="A1:AH45"/>
  <sheetViews>
    <sheetView topLeftCell="F3" workbookViewId="0">
      <selection activeCell="P9" sqref="P9:Q22"/>
    </sheetView>
  </sheetViews>
  <sheetFormatPr defaultColWidth="9.140625" defaultRowHeight="18" customHeight="1" x14ac:dyDescent="0.25"/>
  <cols>
    <col min="1" max="1" width="36.5703125" style="207" customWidth="1"/>
    <col min="2" max="2" width="9" style="207" bestFit="1" customWidth="1"/>
    <col min="3" max="5" width="11.5703125" style="207" customWidth="1"/>
    <col min="6" max="6" width="28.28515625" style="207" customWidth="1"/>
    <col min="7" max="11" width="13" style="207" customWidth="1"/>
    <col min="12" max="24" width="14.140625" style="207" customWidth="1"/>
    <col min="25" max="26" width="9.140625" style="207"/>
    <col min="27" max="27" width="11.5703125" style="207" customWidth="1"/>
    <col min="28" max="28" width="57" style="207" customWidth="1"/>
    <col min="29" max="29" width="10.140625" style="207" customWidth="1"/>
    <col min="30" max="31" width="8.28515625" style="207" customWidth="1"/>
    <col min="32" max="32" width="11" style="207" customWidth="1"/>
    <col min="33" max="33" width="8.28515625" style="207" customWidth="1"/>
    <col min="34" max="34" width="7.42578125" style="207" customWidth="1"/>
    <col min="35" max="16384" width="9.140625" style="207"/>
  </cols>
  <sheetData>
    <row r="1" spans="1:34" ht="18" customHeight="1" x14ac:dyDescent="0.25">
      <c r="A1" s="529" t="s">
        <v>318</v>
      </c>
      <c r="B1" s="529"/>
      <c r="C1" s="529"/>
      <c r="D1" s="529"/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29"/>
      <c r="W1" s="529"/>
      <c r="X1" s="529"/>
      <c r="Z1" s="530" t="s">
        <v>319</v>
      </c>
      <c r="AA1" s="531"/>
      <c r="AB1" s="517" t="s">
        <v>725</v>
      </c>
      <c r="AC1" s="518"/>
      <c r="AD1" s="518"/>
      <c r="AE1" s="519"/>
      <c r="AF1" s="536" t="s">
        <v>332</v>
      </c>
      <c r="AG1" s="537"/>
      <c r="AH1" s="538"/>
    </row>
    <row r="2" spans="1:34" ht="18" customHeight="1" thickBot="1" x14ac:dyDescent="0.3">
      <c r="A2" s="529"/>
      <c r="B2" s="529"/>
      <c r="C2" s="529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9"/>
      <c r="R2" s="529"/>
      <c r="S2" s="529"/>
      <c r="T2" s="529"/>
      <c r="U2" s="529"/>
      <c r="V2" s="529"/>
      <c r="W2" s="529"/>
      <c r="X2" s="529"/>
      <c r="Z2" s="532"/>
      <c r="AA2" s="533"/>
      <c r="AB2" s="520"/>
      <c r="AC2" s="521"/>
      <c r="AD2" s="521"/>
      <c r="AE2" s="522"/>
      <c r="AF2" s="511" t="s">
        <v>711</v>
      </c>
      <c r="AG2" s="512"/>
      <c r="AH2" s="513"/>
    </row>
    <row r="3" spans="1:34" ht="18" customHeight="1" x14ac:dyDescent="0.25">
      <c r="A3" s="507" t="s">
        <v>305</v>
      </c>
      <c r="B3" s="507" t="s">
        <v>20</v>
      </c>
      <c r="C3" s="507" t="s">
        <v>717</v>
      </c>
      <c r="D3" s="507" t="s">
        <v>749</v>
      </c>
      <c r="E3" s="507" t="s">
        <v>750</v>
      </c>
      <c r="F3" s="507" t="s">
        <v>367</v>
      </c>
      <c r="G3" s="507" t="s">
        <v>731</v>
      </c>
      <c r="H3" s="507" t="s">
        <v>732</v>
      </c>
      <c r="I3" s="507" t="s">
        <v>733</v>
      </c>
      <c r="J3" s="507" t="s">
        <v>734</v>
      </c>
      <c r="K3" s="507" t="s">
        <v>735</v>
      </c>
      <c r="L3" s="507" t="s">
        <v>21</v>
      </c>
      <c r="M3" s="507" t="s">
        <v>791</v>
      </c>
      <c r="N3" s="507" t="s">
        <v>328</v>
      </c>
      <c r="O3" s="507" t="s">
        <v>322</v>
      </c>
      <c r="P3" s="507" t="s">
        <v>802</v>
      </c>
      <c r="Q3" s="507" t="s">
        <v>803</v>
      </c>
      <c r="R3" s="507" t="s">
        <v>804</v>
      </c>
      <c r="S3" s="507" t="s">
        <v>805</v>
      </c>
      <c r="T3" s="507" t="s">
        <v>806</v>
      </c>
      <c r="U3" s="507" t="s">
        <v>310</v>
      </c>
      <c r="V3" s="507" t="s">
        <v>794</v>
      </c>
      <c r="W3" s="507" t="s">
        <v>323</v>
      </c>
      <c r="X3" s="507" t="s">
        <v>743</v>
      </c>
      <c r="Z3" s="532"/>
      <c r="AA3" s="533"/>
      <c r="AB3" s="520"/>
      <c r="AC3" s="521"/>
      <c r="AD3" s="521"/>
      <c r="AE3" s="522"/>
      <c r="AF3" s="511" t="s">
        <v>724</v>
      </c>
      <c r="AG3" s="512"/>
      <c r="AH3" s="513"/>
    </row>
    <row r="4" spans="1:34" ht="18" customHeight="1" x14ac:dyDescent="0.25">
      <c r="A4" s="508"/>
      <c r="B4" s="508"/>
      <c r="C4" s="508"/>
      <c r="D4" s="508"/>
      <c r="E4" s="508"/>
      <c r="F4" s="508"/>
      <c r="G4" s="508"/>
      <c r="H4" s="508"/>
      <c r="I4" s="508"/>
      <c r="J4" s="508"/>
      <c r="K4" s="508"/>
      <c r="L4" s="508"/>
      <c r="M4" s="508"/>
      <c r="N4" s="508"/>
      <c r="O4" s="508"/>
      <c r="P4" s="508"/>
      <c r="Q4" s="508"/>
      <c r="R4" s="508"/>
      <c r="S4" s="508"/>
      <c r="T4" s="508"/>
      <c r="U4" s="508"/>
      <c r="V4" s="508"/>
      <c r="W4" s="508"/>
      <c r="X4" s="508"/>
      <c r="Z4" s="534"/>
      <c r="AA4" s="535"/>
      <c r="AB4" s="523"/>
      <c r="AC4" s="524"/>
      <c r="AD4" s="524"/>
      <c r="AE4" s="525"/>
      <c r="AF4" s="514" t="s">
        <v>324</v>
      </c>
      <c r="AG4" s="515"/>
      <c r="AH4" s="516"/>
    </row>
    <row r="5" spans="1:34" ht="18" customHeight="1" x14ac:dyDescent="0.25">
      <c r="A5" s="508"/>
      <c r="B5" s="508"/>
      <c r="C5" s="508"/>
      <c r="D5" s="508"/>
      <c r="E5" s="508"/>
      <c r="F5" s="508"/>
      <c r="G5" s="508"/>
      <c r="H5" s="508"/>
      <c r="I5" s="508"/>
      <c r="J5" s="508"/>
      <c r="K5" s="508"/>
      <c r="L5" s="508"/>
      <c r="M5" s="508"/>
      <c r="N5" s="508"/>
      <c r="O5" s="508"/>
      <c r="P5" s="508"/>
      <c r="Q5" s="508"/>
      <c r="R5" s="508"/>
      <c r="S5" s="508"/>
      <c r="T5" s="508"/>
      <c r="U5" s="508"/>
      <c r="V5" s="508"/>
      <c r="W5" s="508"/>
      <c r="X5" s="508"/>
      <c r="Z5" s="82"/>
      <c r="AA5" s="82"/>
      <c r="AB5" s="82"/>
      <c r="AC5" s="82"/>
      <c r="AD5" s="82"/>
      <c r="AE5" s="82"/>
      <c r="AF5" s="82"/>
      <c r="AG5" s="82"/>
      <c r="AH5" s="82"/>
    </row>
    <row r="6" spans="1:34" ht="18" customHeight="1" x14ac:dyDescent="0.25">
      <c r="A6" s="509"/>
      <c r="B6" s="509"/>
      <c r="C6" s="509"/>
      <c r="D6" s="509"/>
      <c r="E6" s="509"/>
      <c r="F6" s="509"/>
      <c r="G6" s="509"/>
      <c r="H6" s="509"/>
      <c r="I6" s="509"/>
      <c r="J6" s="509"/>
      <c r="K6" s="509"/>
      <c r="L6" s="509"/>
      <c r="M6" s="509"/>
      <c r="N6" s="509"/>
      <c r="O6" s="509"/>
      <c r="P6" s="509"/>
      <c r="Q6" s="509"/>
      <c r="R6" s="509"/>
      <c r="S6" s="509"/>
      <c r="T6" s="509"/>
      <c r="U6" s="509"/>
      <c r="V6" s="509"/>
      <c r="W6" s="509"/>
      <c r="X6" s="509"/>
      <c r="Z6" s="506" t="s">
        <v>25</v>
      </c>
      <c r="AA6" s="506" t="s">
        <v>721</v>
      </c>
      <c r="AB6" s="510" t="s">
        <v>321</v>
      </c>
      <c r="AC6" s="526" t="s">
        <v>325</v>
      </c>
      <c r="AD6" s="527"/>
      <c r="AE6" s="528"/>
      <c r="AF6" s="506" t="s">
        <v>720</v>
      </c>
      <c r="AG6" s="506" t="s">
        <v>722</v>
      </c>
      <c r="AH6" s="506" t="s">
        <v>719</v>
      </c>
    </row>
    <row r="7" spans="1:34" ht="18" customHeight="1" x14ac:dyDescent="0.25">
      <c r="A7" s="65" t="str">
        <f>Minták!F5</f>
        <v>8351 Nhmzzmsdqh Nhhlz</v>
      </c>
      <c r="B7" s="208" t="str">
        <f>Minták!D5</f>
        <v>1/IV</v>
      </c>
      <c r="C7" s="209">
        <f>Minták!E5</f>
        <v>45292</v>
      </c>
      <c r="D7" s="329" t="s">
        <v>44</v>
      </c>
      <c r="E7" s="323" t="s">
        <v>44</v>
      </c>
      <c r="F7" s="329" t="s">
        <v>44</v>
      </c>
      <c r="G7" s="329" t="s">
        <v>44</v>
      </c>
      <c r="H7" s="329" t="s">
        <v>44</v>
      </c>
      <c r="I7" s="323" t="s">
        <v>44</v>
      </c>
      <c r="J7" s="329" t="s">
        <v>44</v>
      </c>
      <c r="K7" s="323" t="s">
        <v>44</v>
      </c>
      <c r="L7" s="320">
        <f>Minták!E5</f>
        <v>45292</v>
      </c>
      <c r="M7" s="39" t="s">
        <v>44</v>
      </c>
      <c r="N7" s="39" t="s">
        <v>44</v>
      </c>
      <c r="O7" s="39" t="s">
        <v>44</v>
      </c>
      <c r="P7" s="331">
        <v>1</v>
      </c>
      <c r="Q7" s="329">
        <v>10</v>
      </c>
      <c r="R7" s="331" t="s">
        <v>44</v>
      </c>
      <c r="S7" s="331" t="s">
        <v>44</v>
      </c>
      <c r="T7" s="329" t="s">
        <v>44</v>
      </c>
      <c r="U7" s="329" t="s">
        <v>44</v>
      </c>
      <c r="V7" s="329" t="s">
        <v>44</v>
      </c>
      <c r="W7" s="323" t="s">
        <v>44</v>
      </c>
      <c r="X7" s="209" t="str">
        <f>Minták!S5</f>
        <v>igen</v>
      </c>
      <c r="Z7" s="506"/>
      <c r="AA7" s="506"/>
      <c r="AB7" s="510"/>
      <c r="AC7" s="506" t="s">
        <v>718</v>
      </c>
      <c r="AD7" s="506" t="s">
        <v>326</v>
      </c>
      <c r="AE7" s="506" t="s">
        <v>327</v>
      </c>
      <c r="AF7" s="506"/>
      <c r="AG7" s="506"/>
      <c r="AH7" s="506"/>
    </row>
    <row r="8" spans="1:34" ht="18" customHeight="1" x14ac:dyDescent="0.25">
      <c r="A8" s="65" t="str">
        <f>Minták!F6</f>
        <v>ADATOT BEÍRNI</v>
      </c>
      <c r="B8" s="208" t="str">
        <f>Minták!D6</f>
        <v>2/IV</v>
      </c>
      <c r="C8" s="209">
        <f>Minták!E6</f>
        <v>45293</v>
      </c>
      <c r="D8" s="323" t="s">
        <v>44</v>
      </c>
      <c r="E8" s="323" t="s">
        <v>44</v>
      </c>
      <c r="F8" s="329" t="s">
        <v>44</v>
      </c>
      <c r="G8" s="329" t="s">
        <v>44</v>
      </c>
      <c r="H8" s="323" t="s">
        <v>44</v>
      </c>
      <c r="I8" s="323" t="s">
        <v>44</v>
      </c>
      <c r="J8" s="323" t="s">
        <v>44</v>
      </c>
      <c r="K8" s="323" t="s">
        <v>44</v>
      </c>
      <c r="L8" s="320">
        <f>Minták!E6</f>
        <v>45293</v>
      </c>
      <c r="M8" s="39" t="s">
        <v>44</v>
      </c>
      <c r="N8" s="39" t="s">
        <v>44</v>
      </c>
      <c r="O8" s="39" t="s">
        <v>44</v>
      </c>
      <c r="P8" s="331">
        <f>P7+0.1</f>
        <v>1.1000000000000001</v>
      </c>
      <c r="Q8" s="331">
        <f>Q7+0.1</f>
        <v>10.1</v>
      </c>
      <c r="R8" s="331" t="s">
        <v>44</v>
      </c>
      <c r="S8" s="329" t="s">
        <v>44</v>
      </c>
      <c r="T8" s="329" t="s">
        <v>44</v>
      </c>
      <c r="U8" s="329" t="s">
        <v>44</v>
      </c>
      <c r="V8" s="329" t="s">
        <v>44</v>
      </c>
      <c r="W8" s="323" t="s">
        <v>44</v>
      </c>
      <c r="X8" s="209" t="str">
        <f>Minták!S6</f>
        <v>nem</v>
      </c>
      <c r="Z8" s="506"/>
      <c r="AA8" s="506"/>
      <c r="AB8" s="510"/>
      <c r="AC8" s="506"/>
      <c r="AD8" s="506"/>
      <c r="AE8" s="506"/>
      <c r="AF8" s="506"/>
      <c r="AG8" s="506"/>
      <c r="AH8" s="506"/>
    </row>
    <row r="9" spans="1:34" ht="18" customHeight="1" x14ac:dyDescent="0.25">
      <c r="A9" s="65" t="str">
        <f>Minták!F7</f>
        <v>ADATOT BEÍRNI</v>
      </c>
      <c r="B9" s="208" t="str">
        <f>Minták!D7</f>
        <v>3/KIV</v>
      </c>
      <c r="C9" s="209">
        <f>Minták!E7</f>
        <v>45294</v>
      </c>
      <c r="D9" s="323" t="s">
        <v>44</v>
      </c>
      <c r="E9" s="329" t="s">
        <v>44</v>
      </c>
      <c r="F9" s="329" t="s">
        <v>44</v>
      </c>
      <c r="G9" s="329" t="s">
        <v>44</v>
      </c>
      <c r="H9" s="323" t="s">
        <v>44</v>
      </c>
      <c r="I9" s="329" t="s">
        <v>44</v>
      </c>
      <c r="J9" s="323" t="s">
        <v>44</v>
      </c>
      <c r="K9" s="329" t="s">
        <v>44</v>
      </c>
      <c r="L9" s="320">
        <f>Minták!E7</f>
        <v>45294</v>
      </c>
      <c r="M9" s="39" t="s">
        <v>44</v>
      </c>
      <c r="N9" s="39" t="s">
        <v>44</v>
      </c>
      <c r="O9" s="39" t="s">
        <v>44</v>
      </c>
      <c r="P9" s="331">
        <f t="shared" ref="P9:P22" si="0">P8+0.1</f>
        <v>1.2000000000000002</v>
      </c>
      <c r="Q9" s="331">
        <f t="shared" ref="Q9:Q22" si="1">Q8+0.1</f>
        <v>10.199999999999999</v>
      </c>
      <c r="R9" s="331" t="s">
        <v>44</v>
      </c>
      <c r="S9" s="331" t="s">
        <v>44</v>
      </c>
      <c r="T9" s="329" t="s">
        <v>44</v>
      </c>
      <c r="U9" s="329" t="s">
        <v>44</v>
      </c>
      <c r="V9" s="329" t="s">
        <v>44</v>
      </c>
      <c r="W9" s="324" t="s">
        <v>44</v>
      </c>
      <c r="X9" s="209" t="str">
        <f>Minták!S7</f>
        <v>na</v>
      </c>
      <c r="Z9" s="321" t="str">
        <f t="shared" ref="Z9:Z24" si="2">B7</f>
        <v>1/IV</v>
      </c>
      <c r="AA9" s="210">
        <f t="shared" ref="AA9:AA24" si="3">C7</f>
        <v>45292</v>
      </c>
      <c r="AB9" s="211" t="str">
        <f t="shared" ref="AB9:AB24" si="4">A7</f>
        <v>8351 Nhmzzmsdqh Nhhlz</v>
      </c>
      <c r="AC9" s="322">
        <f>L7</f>
        <v>45292</v>
      </c>
      <c r="AD9" s="212" t="str">
        <f t="shared" ref="AD9:AD24" si="5">M7</f>
        <v>-</v>
      </c>
      <c r="AE9" s="212" t="str">
        <f t="shared" ref="AE9:AE24" si="6">O7</f>
        <v>-</v>
      </c>
      <c r="AF9" s="325" t="str">
        <f t="shared" ref="AF9:AF24" si="7">U7</f>
        <v>-</v>
      </c>
      <c r="AG9" s="321" t="str">
        <f t="shared" ref="AG9:AG24" si="8">IF(B7="-","-",X7)</f>
        <v>igen</v>
      </c>
      <c r="AH9" s="325" t="str">
        <f t="shared" ref="AH9:AH24" si="9">W7</f>
        <v>-</v>
      </c>
    </row>
    <row r="10" spans="1:34" ht="18" customHeight="1" x14ac:dyDescent="0.25">
      <c r="A10" s="65" t="str">
        <f>Minták!F8</f>
        <v>9605 Lcwvcl Ebnxscqc</v>
      </c>
      <c r="B10" s="208" t="str">
        <f>Minták!D8</f>
        <v>4/IV</v>
      </c>
      <c r="C10" s="209">
        <f>Minták!E8</f>
        <v>45295</v>
      </c>
      <c r="D10" s="323" t="s">
        <v>44</v>
      </c>
      <c r="E10" s="329" t="s">
        <v>44</v>
      </c>
      <c r="F10" s="329" t="s">
        <v>44</v>
      </c>
      <c r="G10" s="329" t="s">
        <v>44</v>
      </c>
      <c r="H10" s="323" t="s">
        <v>44</v>
      </c>
      <c r="I10" s="329" t="s">
        <v>44</v>
      </c>
      <c r="J10" s="323" t="s">
        <v>44</v>
      </c>
      <c r="K10" s="329" t="s">
        <v>44</v>
      </c>
      <c r="L10" s="320">
        <f>Minták!E8</f>
        <v>45295</v>
      </c>
      <c r="M10" s="39" t="s">
        <v>44</v>
      </c>
      <c r="N10" s="39" t="s">
        <v>44</v>
      </c>
      <c r="O10" s="39" t="s">
        <v>44</v>
      </c>
      <c r="P10" s="331">
        <f t="shared" si="0"/>
        <v>1.3000000000000003</v>
      </c>
      <c r="Q10" s="331">
        <f t="shared" si="1"/>
        <v>10.299999999999999</v>
      </c>
      <c r="R10" s="331" t="s">
        <v>44</v>
      </c>
      <c r="S10" s="331" t="s">
        <v>44</v>
      </c>
      <c r="T10" s="329" t="s">
        <v>44</v>
      </c>
      <c r="U10" s="329" t="s">
        <v>44</v>
      </c>
      <c r="V10" s="329" t="s">
        <v>44</v>
      </c>
      <c r="W10" s="324" t="s">
        <v>44</v>
      </c>
      <c r="X10" s="209" t="str">
        <f>Minták!S8</f>
        <v>igen</v>
      </c>
      <c r="Z10" s="321" t="str">
        <f t="shared" si="2"/>
        <v>2/IV</v>
      </c>
      <c r="AA10" s="210">
        <f t="shared" si="3"/>
        <v>45293</v>
      </c>
      <c r="AB10" s="211" t="str">
        <f t="shared" si="4"/>
        <v>ADATOT BEÍRNI</v>
      </c>
      <c r="AC10" s="322">
        <f t="shared" ref="AC10:AC24" si="10">L8</f>
        <v>45293</v>
      </c>
      <c r="AD10" s="212" t="str">
        <f t="shared" si="5"/>
        <v>-</v>
      </c>
      <c r="AE10" s="212" t="str">
        <f t="shared" si="6"/>
        <v>-</v>
      </c>
      <c r="AF10" s="325" t="str">
        <f t="shared" si="7"/>
        <v>-</v>
      </c>
      <c r="AG10" s="321" t="str">
        <f t="shared" si="8"/>
        <v>nem</v>
      </c>
      <c r="AH10" s="325" t="str">
        <f t="shared" si="9"/>
        <v>-</v>
      </c>
    </row>
    <row r="11" spans="1:34" ht="18" customHeight="1" x14ac:dyDescent="0.25">
      <c r="A11" s="65" t="str">
        <f>Minták!F9</f>
        <v>3086 Aaompjnhr Ubqpva</v>
      </c>
      <c r="B11" s="208" t="str">
        <f>Minták!D9</f>
        <v>5/IV</v>
      </c>
      <c r="C11" s="209">
        <f>Minták!E9</f>
        <v>45296</v>
      </c>
      <c r="D11" s="329" t="s">
        <v>44</v>
      </c>
      <c r="E11" s="329" t="s">
        <v>44</v>
      </c>
      <c r="F11" s="329" t="s">
        <v>44</v>
      </c>
      <c r="G11" s="329" t="s">
        <v>44</v>
      </c>
      <c r="H11" s="323" t="s">
        <v>44</v>
      </c>
      <c r="I11" s="329" t="s">
        <v>44</v>
      </c>
      <c r="J11" s="329" t="s">
        <v>44</v>
      </c>
      <c r="K11" s="329" t="s">
        <v>44</v>
      </c>
      <c r="L11" s="320">
        <f>Minták!E9</f>
        <v>45296</v>
      </c>
      <c r="M11" s="39" t="s">
        <v>44</v>
      </c>
      <c r="N11" s="39" t="s">
        <v>44</v>
      </c>
      <c r="O11" s="39" t="s">
        <v>44</v>
      </c>
      <c r="P11" s="331">
        <f t="shared" si="0"/>
        <v>1.4000000000000004</v>
      </c>
      <c r="Q11" s="331">
        <f t="shared" si="1"/>
        <v>10.399999999999999</v>
      </c>
      <c r="R11" s="329" t="s">
        <v>44</v>
      </c>
      <c r="S11" s="331" t="s">
        <v>44</v>
      </c>
      <c r="T11" s="329" t="s">
        <v>44</v>
      </c>
      <c r="U11" s="329" t="s">
        <v>44</v>
      </c>
      <c r="V11" s="324" t="s">
        <v>44</v>
      </c>
      <c r="W11" s="324" t="s">
        <v>44</v>
      </c>
      <c r="X11" s="209" t="str">
        <f>Minták!S9</f>
        <v>nem</v>
      </c>
      <c r="Z11" s="321" t="str">
        <f t="shared" si="2"/>
        <v>3/KIV</v>
      </c>
      <c r="AA11" s="210">
        <f t="shared" si="3"/>
        <v>45294</v>
      </c>
      <c r="AB11" s="211" t="str">
        <f t="shared" si="4"/>
        <v>ADATOT BEÍRNI</v>
      </c>
      <c r="AC11" s="322">
        <f t="shared" si="10"/>
        <v>45294</v>
      </c>
      <c r="AD11" s="212" t="str">
        <f t="shared" si="5"/>
        <v>-</v>
      </c>
      <c r="AE11" s="212" t="str">
        <f t="shared" si="6"/>
        <v>-</v>
      </c>
      <c r="AF11" s="325" t="str">
        <f t="shared" si="7"/>
        <v>-</v>
      </c>
      <c r="AG11" s="321" t="str">
        <f t="shared" si="8"/>
        <v>na</v>
      </c>
      <c r="AH11" s="325" t="str">
        <f t="shared" si="9"/>
        <v>-</v>
      </c>
    </row>
    <row r="12" spans="1:34" ht="18" customHeight="1" x14ac:dyDescent="0.25">
      <c r="A12" s="65" t="str">
        <f>Minták!F10</f>
        <v>7919 Jxbxjr Eouypz</v>
      </c>
      <c r="B12" s="208" t="str">
        <f>Minták!D10</f>
        <v>6/IV</v>
      </c>
      <c r="C12" s="209">
        <f>Minták!E10</f>
        <v>45297</v>
      </c>
      <c r="D12" s="323" t="s">
        <v>44</v>
      </c>
      <c r="E12" s="329" t="s">
        <v>44</v>
      </c>
      <c r="F12" s="329" t="s">
        <v>44</v>
      </c>
      <c r="G12" s="329" t="s">
        <v>44</v>
      </c>
      <c r="H12" s="323" t="s">
        <v>44</v>
      </c>
      <c r="I12" s="329" t="s">
        <v>44</v>
      </c>
      <c r="J12" s="323" t="s">
        <v>44</v>
      </c>
      <c r="K12" s="329" t="s">
        <v>44</v>
      </c>
      <c r="L12" s="320">
        <f>Minták!E10</f>
        <v>45297</v>
      </c>
      <c r="M12" s="39" t="s">
        <v>44</v>
      </c>
      <c r="N12" s="39" t="s">
        <v>44</v>
      </c>
      <c r="O12" s="39" t="s">
        <v>44</v>
      </c>
      <c r="P12" s="331">
        <f t="shared" si="0"/>
        <v>1.5000000000000004</v>
      </c>
      <c r="Q12" s="331">
        <f t="shared" si="1"/>
        <v>10.499999999999998</v>
      </c>
      <c r="R12" s="331" t="s">
        <v>44</v>
      </c>
      <c r="S12" s="331" t="s">
        <v>44</v>
      </c>
      <c r="T12" s="329" t="s">
        <v>44</v>
      </c>
      <c r="U12" s="329" t="s">
        <v>44</v>
      </c>
      <c r="V12" s="329" t="s">
        <v>44</v>
      </c>
      <c r="W12" s="324" t="s">
        <v>44</v>
      </c>
      <c r="X12" s="209" t="str">
        <f>Minták!S10</f>
        <v>na</v>
      </c>
      <c r="Z12" s="321" t="str">
        <f t="shared" si="2"/>
        <v>4/IV</v>
      </c>
      <c r="AA12" s="210">
        <f t="shared" si="3"/>
        <v>45295</v>
      </c>
      <c r="AB12" s="211" t="str">
        <f t="shared" si="4"/>
        <v>9605 Lcwvcl Ebnxscqc</v>
      </c>
      <c r="AC12" s="322">
        <f t="shared" si="10"/>
        <v>45295</v>
      </c>
      <c r="AD12" s="212" t="str">
        <f t="shared" si="5"/>
        <v>-</v>
      </c>
      <c r="AE12" s="212" t="str">
        <f t="shared" si="6"/>
        <v>-</v>
      </c>
      <c r="AF12" s="325" t="str">
        <f t="shared" si="7"/>
        <v>-</v>
      </c>
      <c r="AG12" s="321" t="str">
        <f t="shared" si="8"/>
        <v>igen</v>
      </c>
      <c r="AH12" s="325" t="str">
        <f t="shared" si="9"/>
        <v>-</v>
      </c>
    </row>
    <row r="13" spans="1:34" ht="18" customHeight="1" x14ac:dyDescent="0.25">
      <c r="A13" s="65" t="str">
        <f>Minták!F11</f>
        <v>8270 Owijzsgzrpr Rkohqy</v>
      </c>
      <c r="B13" s="208" t="str">
        <f>Minták!D11</f>
        <v>7/IV</v>
      </c>
      <c r="C13" s="209">
        <f>Minták!E11</f>
        <v>45298</v>
      </c>
      <c r="D13" s="329" t="s">
        <v>44</v>
      </c>
      <c r="E13" s="329" t="s">
        <v>44</v>
      </c>
      <c r="F13" s="329" t="s">
        <v>44</v>
      </c>
      <c r="G13" s="329" t="s">
        <v>44</v>
      </c>
      <c r="H13" s="323" t="s">
        <v>44</v>
      </c>
      <c r="I13" s="329" t="s">
        <v>44</v>
      </c>
      <c r="J13" s="329" t="s">
        <v>44</v>
      </c>
      <c r="K13" s="329" t="s">
        <v>44</v>
      </c>
      <c r="L13" s="320">
        <f>Minták!E11</f>
        <v>45298</v>
      </c>
      <c r="M13" s="39" t="s">
        <v>44</v>
      </c>
      <c r="N13" s="39" t="s">
        <v>44</v>
      </c>
      <c r="O13" s="39" t="s">
        <v>44</v>
      </c>
      <c r="P13" s="331">
        <f t="shared" si="0"/>
        <v>1.6000000000000005</v>
      </c>
      <c r="Q13" s="331">
        <f t="shared" si="1"/>
        <v>10.599999999999998</v>
      </c>
      <c r="R13" s="331" t="s">
        <v>44</v>
      </c>
      <c r="S13" s="329" t="s">
        <v>44</v>
      </c>
      <c r="T13" s="329" t="s">
        <v>44</v>
      </c>
      <c r="U13" s="329" t="s">
        <v>44</v>
      </c>
      <c r="V13" s="329" t="s">
        <v>44</v>
      </c>
      <c r="W13" s="324" t="s">
        <v>44</v>
      </c>
      <c r="X13" s="209" t="str">
        <f>Minták!S11</f>
        <v>igen</v>
      </c>
      <c r="Z13" s="321" t="str">
        <f t="shared" si="2"/>
        <v>5/IV</v>
      </c>
      <c r="AA13" s="210">
        <f t="shared" si="3"/>
        <v>45296</v>
      </c>
      <c r="AB13" s="211" t="str">
        <f t="shared" si="4"/>
        <v>3086 Aaompjnhr Ubqpva</v>
      </c>
      <c r="AC13" s="322">
        <f t="shared" si="10"/>
        <v>45296</v>
      </c>
      <c r="AD13" s="212" t="str">
        <f t="shared" si="5"/>
        <v>-</v>
      </c>
      <c r="AE13" s="212" t="str">
        <f t="shared" si="6"/>
        <v>-</v>
      </c>
      <c r="AF13" s="325" t="str">
        <f t="shared" si="7"/>
        <v>-</v>
      </c>
      <c r="AG13" s="321" t="str">
        <f t="shared" si="8"/>
        <v>nem</v>
      </c>
      <c r="AH13" s="325" t="str">
        <f t="shared" si="9"/>
        <v>-</v>
      </c>
    </row>
    <row r="14" spans="1:34" ht="18" customHeight="1" x14ac:dyDescent="0.25">
      <c r="A14" s="65" t="str">
        <f>Minták!F12</f>
        <v>2991 Jjdjhsp Vxhhmc</v>
      </c>
      <c r="B14" s="208" t="str">
        <f>Minták!D12</f>
        <v>8/IV</v>
      </c>
      <c r="C14" s="209">
        <f>Minták!E12</f>
        <v>45299</v>
      </c>
      <c r="D14" s="329" t="s">
        <v>44</v>
      </c>
      <c r="E14" s="329" t="s">
        <v>44</v>
      </c>
      <c r="F14" s="329" t="s">
        <v>44</v>
      </c>
      <c r="G14" s="329" t="s">
        <v>44</v>
      </c>
      <c r="H14" s="323" t="s">
        <v>44</v>
      </c>
      <c r="I14" s="329" t="s">
        <v>44</v>
      </c>
      <c r="J14" s="329" t="s">
        <v>44</v>
      </c>
      <c r="K14" s="329" t="s">
        <v>44</v>
      </c>
      <c r="L14" s="320">
        <f>Minták!E12</f>
        <v>45299</v>
      </c>
      <c r="M14" s="39" t="s">
        <v>44</v>
      </c>
      <c r="N14" s="39" t="s">
        <v>44</v>
      </c>
      <c r="O14" s="39" t="s">
        <v>44</v>
      </c>
      <c r="P14" s="331">
        <f t="shared" si="0"/>
        <v>1.7000000000000006</v>
      </c>
      <c r="Q14" s="331">
        <f t="shared" si="1"/>
        <v>10.699999999999998</v>
      </c>
      <c r="R14" s="331" t="s">
        <v>44</v>
      </c>
      <c r="S14" s="331" t="s">
        <v>44</v>
      </c>
      <c r="T14" s="329" t="s">
        <v>44</v>
      </c>
      <c r="U14" s="329" t="s">
        <v>44</v>
      </c>
      <c r="V14" s="329" t="s">
        <v>44</v>
      </c>
      <c r="W14" s="324" t="s">
        <v>44</v>
      </c>
      <c r="X14" s="209" t="str">
        <f>Minták!S12</f>
        <v>nem</v>
      </c>
      <c r="Z14" s="321" t="str">
        <f t="shared" si="2"/>
        <v>6/IV</v>
      </c>
      <c r="AA14" s="210">
        <f t="shared" si="3"/>
        <v>45297</v>
      </c>
      <c r="AB14" s="211" t="str">
        <f t="shared" si="4"/>
        <v>7919 Jxbxjr Eouypz</v>
      </c>
      <c r="AC14" s="322">
        <f t="shared" si="10"/>
        <v>45297</v>
      </c>
      <c r="AD14" s="212" t="str">
        <f t="shared" si="5"/>
        <v>-</v>
      </c>
      <c r="AE14" s="212" t="str">
        <f t="shared" si="6"/>
        <v>-</v>
      </c>
      <c r="AF14" s="325" t="str">
        <f t="shared" si="7"/>
        <v>-</v>
      </c>
      <c r="AG14" s="321" t="str">
        <f t="shared" si="8"/>
        <v>na</v>
      </c>
      <c r="AH14" s="325" t="str">
        <f t="shared" si="9"/>
        <v>-</v>
      </c>
    </row>
    <row r="15" spans="1:34" ht="18" customHeight="1" x14ac:dyDescent="0.25">
      <c r="A15" s="65" t="str">
        <f>Minták!F13</f>
        <v>8018 Mankscvx Msdxtl</v>
      </c>
      <c r="B15" s="208" t="str">
        <f>Minták!D13</f>
        <v>9/IV</v>
      </c>
      <c r="C15" s="209">
        <f>Minták!E13</f>
        <v>45300</v>
      </c>
      <c r="D15" s="329" t="s">
        <v>44</v>
      </c>
      <c r="E15" s="329" t="s">
        <v>44</v>
      </c>
      <c r="F15" s="329" t="s">
        <v>44</v>
      </c>
      <c r="G15" s="329" t="s">
        <v>44</v>
      </c>
      <c r="H15" s="323" t="s">
        <v>44</v>
      </c>
      <c r="I15" s="329" t="s">
        <v>44</v>
      </c>
      <c r="J15" s="329" t="s">
        <v>44</v>
      </c>
      <c r="K15" s="329" t="s">
        <v>44</v>
      </c>
      <c r="L15" s="320">
        <f>Minták!E13</f>
        <v>45300</v>
      </c>
      <c r="M15" s="39" t="s">
        <v>44</v>
      </c>
      <c r="N15" s="39" t="s">
        <v>44</v>
      </c>
      <c r="O15" s="39" t="s">
        <v>44</v>
      </c>
      <c r="P15" s="331">
        <f t="shared" si="0"/>
        <v>1.8000000000000007</v>
      </c>
      <c r="Q15" s="331">
        <f t="shared" si="1"/>
        <v>10.799999999999997</v>
      </c>
      <c r="R15" s="329" t="s">
        <v>44</v>
      </c>
      <c r="S15" s="329" t="s">
        <v>44</v>
      </c>
      <c r="T15" s="329" t="s">
        <v>44</v>
      </c>
      <c r="U15" s="329" t="s">
        <v>44</v>
      </c>
      <c r="V15" s="329" t="s">
        <v>44</v>
      </c>
      <c r="W15" s="324" t="s">
        <v>44</v>
      </c>
      <c r="X15" s="209" t="str">
        <f>Minták!S13</f>
        <v>na</v>
      </c>
      <c r="Z15" s="321" t="str">
        <f t="shared" si="2"/>
        <v>7/IV</v>
      </c>
      <c r="AA15" s="210">
        <f t="shared" si="3"/>
        <v>45298</v>
      </c>
      <c r="AB15" s="211" t="str">
        <f t="shared" si="4"/>
        <v>8270 Owijzsgzrpr Rkohqy</v>
      </c>
      <c r="AC15" s="322">
        <f t="shared" si="10"/>
        <v>45298</v>
      </c>
      <c r="AD15" s="212" t="str">
        <f t="shared" si="5"/>
        <v>-</v>
      </c>
      <c r="AE15" s="212" t="str">
        <f t="shared" si="6"/>
        <v>-</v>
      </c>
      <c r="AF15" s="325" t="str">
        <f t="shared" si="7"/>
        <v>-</v>
      </c>
      <c r="AG15" s="321" t="str">
        <f t="shared" si="8"/>
        <v>igen</v>
      </c>
      <c r="AH15" s="325" t="str">
        <f t="shared" si="9"/>
        <v>-</v>
      </c>
    </row>
    <row r="16" spans="1:34" ht="18" customHeight="1" x14ac:dyDescent="0.25">
      <c r="A16" s="65" t="str">
        <f>Minták!F14</f>
        <v>7065 Hwcflmoijro Qoldnt</v>
      </c>
      <c r="B16" s="208" t="str">
        <f>Minták!D14</f>
        <v>10/IV</v>
      </c>
      <c r="C16" s="209">
        <f>Minták!E14</f>
        <v>45301</v>
      </c>
      <c r="D16" s="329" t="s">
        <v>44</v>
      </c>
      <c r="E16" s="329" t="s">
        <v>44</v>
      </c>
      <c r="F16" s="329" t="s">
        <v>44</v>
      </c>
      <c r="G16" s="329" t="s">
        <v>44</v>
      </c>
      <c r="H16" s="329" t="s">
        <v>44</v>
      </c>
      <c r="I16" s="329" t="s">
        <v>44</v>
      </c>
      <c r="J16" s="329" t="s">
        <v>44</v>
      </c>
      <c r="K16" s="329" t="s">
        <v>44</v>
      </c>
      <c r="L16" s="320">
        <f>Minták!E14</f>
        <v>45301</v>
      </c>
      <c r="M16" s="39" t="s">
        <v>44</v>
      </c>
      <c r="N16" s="39" t="s">
        <v>44</v>
      </c>
      <c r="O16" s="39" t="s">
        <v>44</v>
      </c>
      <c r="P16" s="331">
        <f t="shared" si="0"/>
        <v>1.9000000000000008</v>
      </c>
      <c r="Q16" s="331">
        <f t="shared" si="1"/>
        <v>10.899999999999997</v>
      </c>
      <c r="R16" s="331" t="s">
        <v>44</v>
      </c>
      <c r="S16" s="331" t="s">
        <v>44</v>
      </c>
      <c r="T16" s="329" t="s">
        <v>44</v>
      </c>
      <c r="U16" s="329" t="s">
        <v>44</v>
      </c>
      <c r="V16" s="329" t="s">
        <v>44</v>
      </c>
      <c r="W16" s="324" t="s">
        <v>44</v>
      </c>
      <c r="X16" s="209" t="str">
        <f>Minták!S14</f>
        <v>igen</v>
      </c>
      <c r="Z16" s="321" t="str">
        <f t="shared" si="2"/>
        <v>8/IV</v>
      </c>
      <c r="AA16" s="210">
        <f t="shared" si="3"/>
        <v>45299</v>
      </c>
      <c r="AB16" s="211" t="str">
        <f t="shared" si="4"/>
        <v>2991 Jjdjhsp Vxhhmc</v>
      </c>
      <c r="AC16" s="322">
        <f t="shared" si="10"/>
        <v>45299</v>
      </c>
      <c r="AD16" s="212" t="str">
        <f t="shared" si="5"/>
        <v>-</v>
      </c>
      <c r="AE16" s="212" t="str">
        <f t="shared" si="6"/>
        <v>-</v>
      </c>
      <c r="AF16" s="325" t="str">
        <f t="shared" si="7"/>
        <v>-</v>
      </c>
      <c r="AG16" s="321" t="str">
        <f t="shared" si="8"/>
        <v>nem</v>
      </c>
      <c r="AH16" s="325" t="str">
        <f t="shared" si="9"/>
        <v>-</v>
      </c>
    </row>
    <row r="17" spans="1:34" ht="18" customHeight="1" x14ac:dyDescent="0.25">
      <c r="A17" s="65" t="str">
        <f>Minták!F15</f>
        <v>7136 Uovbwbhi Qnvptf</v>
      </c>
      <c r="B17" s="208" t="str">
        <f>Minták!D15</f>
        <v>11/IV</v>
      </c>
      <c r="C17" s="209">
        <f>Minták!E15</f>
        <v>45302</v>
      </c>
      <c r="D17" s="329" t="s">
        <v>44</v>
      </c>
      <c r="E17" s="329" t="s">
        <v>44</v>
      </c>
      <c r="F17" s="329" t="s">
        <v>44</v>
      </c>
      <c r="G17" s="329" t="s">
        <v>44</v>
      </c>
      <c r="H17" s="323" t="s">
        <v>44</v>
      </c>
      <c r="I17" s="329" t="s">
        <v>44</v>
      </c>
      <c r="J17" s="329" t="s">
        <v>44</v>
      </c>
      <c r="K17" s="329" t="s">
        <v>44</v>
      </c>
      <c r="L17" s="320">
        <f>Minták!E15</f>
        <v>45302</v>
      </c>
      <c r="M17" s="39" t="s">
        <v>44</v>
      </c>
      <c r="N17" s="39" t="s">
        <v>44</v>
      </c>
      <c r="O17" s="39" t="s">
        <v>44</v>
      </c>
      <c r="P17" s="331">
        <f t="shared" si="0"/>
        <v>2.0000000000000009</v>
      </c>
      <c r="Q17" s="331">
        <f t="shared" si="1"/>
        <v>10.999999999999996</v>
      </c>
      <c r="R17" s="331" t="s">
        <v>44</v>
      </c>
      <c r="S17" s="331" t="s">
        <v>44</v>
      </c>
      <c r="T17" s="329" t="s">
        <v>44</v>
      </c>
      <c r="U17" s="329" t="s">
        <v>44</v>
      </c>
      <c r="V17" s="329" t="s">
        <v>44</v>
      </c>
      <c r="W17" s="329" t="s">
        <v>44</v>
      </c>
      <c r="X17" s="209" t="str">
        <f>Minták!S15</f>
        <v>nem</v>
      </c>
      <c r="Z17" s="321" t="str">
        <f t="shared" si="2"/>
        <v>9/IV</v>
      </c>
      <c r="AA17" s="210">
        <f t="shared" si="3"/>
        <v>45300</v>
      </c>
      <c r="AB17" s="211" t="str">
        <f t="shared" si="4"/>
        <v>8018 Mankscvx Msdxtl</v>
      </c>
      <c r="AC17" s="322">
        <f t="shared" si="10"/>
        <v>45300</v>
      </c>
      <c r="AD17" s="212" t="str">
        <f t="shared" si="5"/>
        <v>-</v>
      </c>
      <c r="AE17" s="212" t="str">
        <f t="shared" si="6"/>
        <v>-</v>
      </c>
      <c r="AF17" s="325" t="str">
        <f t="shared" si="7"/>
        <v>-</v>
      </c>
      <c r="AG17" s="321" t="str">
        <f t="shared" si="8"/>
        <v>na</v>
      </c>
      <c r="AH17" s="325" t="str">
        <f t="shared" si="9"/>
        <v>-</v>
      </c>
    </row>
    <row r="18" spans="1:34" ht="18" customHeight="1" x14ac:dyDescent="0.25">
      <c r="A18" s="65" t="str">
        <f>Minták!F16</f>
        <v>3176 Swsvfdsfv Lebdoq</v>
      </c>
      <c r="B18" s="208" t="str">
        <f>Minták!D16</f>
        <v>12/IV</v>
      </c>
      <c r="C18" s="209">
        <f>Minták!E16</f>
        <v>45303</v>
      </c>
      <c r="D18" s="329" t="s">
        <v>44</v>
      </c>
      <c r="E18" s="329" t="s">
        <v>44</v>
      </c>
      <c r="F18" s="329" t="s">
        <v>44</v>
      </c>
      <c r="G18" s="329" t="s">
        <v>44</v>
      </c>
      <c r="H18" s="323" t="s">
        <v>44</v>
      </c>
      <c r="I18" s="329" t="s">
        <v>44</v>
      </c>
      <c r="J18" s="329" t="s">
        <v>44</v>
      </c>
      <c r="K18" s="329" t="s">
        <v>44</v>
      </c>
      <c r="L18" s="320">
        <f>Minták!E16</f>
        <v>45303</v>
      </c>
      <c r="M18" s="39" t="s">
        <v>44</v>
      </c>
      <c r="N18" s="39" t="s">
        <v>44</v>
      </c>
      <c r="O18" s="39" t="s">
        <v>44</v>
      </c>
      <c r="P18" s="331">
        <f t="shared" si="0"/>
        <v>2.100000000000001</v>
      </c>
      <c r="Q18" s="331">
        <f t="shared" si="1"/>
        <v>11.099999999999996</v>
      </c>
      <c r="R18" s="329" t="s">
        <v>44</v>
      </c>
      <c r="S18" s="331" t="s">
        <v>44</v>
      </c>
      <c r="T18" s="329" t="s">
        <v>44</v>
      </c>
      <c r="U18" s="329" t="s">
        <v>44</v>
      </c>
      <c r="V18" s="329" t="s">
        <v>44</v>
      </c>
      <c r="W18" s="324" t="s">
        <v>44</v>
      </c>
      <c r="X18" s="209" t="str">
        <f>Minták!S16</f>
        <v>na</v>
      </c>
      <c r="Z18" s="321" t="str">
        <f t="shared" si="2"/>
        <v>10/IV</v>
      </c>
      <c r="AA18" s="210">
        <f t="shared" si="3"/>
        <v>45301</v>
      </c>
      <c r="AB18" s="211" t="str">
        <f t="shared" si="4"/>
        <v>7065 Hwcflmoijro Qoldnt</v>
      </c>
      <c r="AC18" s="322">
        <f t="shared" si="10"/>
        <v>45301</v>
      </c>
      <c r="AD18" s="212" t="str">
        <f t="shared" si="5"/>
        <v>-</v>
      </c>
      <c r="AE18" s="212" t="str">
        <f t="shared" si="6"/>
        <v>-</v>
      </c>
      <c r="AF18" s="325" t="str">
        <f t="shared" si="7"/>
        <v>-</v>
      </c>
      <c r="AG18" s="321" t="str">
        <f t="shared" si="8"/>
        <v>igen</v>
      </c>
      <c r="AH18" s="325" t="str">
        <f t="shared" si="9"/>
        <v>-</v>
      </c>
    </row>
    <row r="19" spans="1:34" ht="18" customHeight="1" x14ac:dyDescent="0.25">
      <c r="A19" s="65" t="str">
        <f>Minták!F17</f>
        <v>3916 Vqhezdzow Askfua</v>
      </c>
      <c r="B19" s="208" t="str">
        <f>Minták!D17</f>
        <v>13/IV</v>
      </c>
      <c r="C19" s="209">
        <f>Minták!E17</f>
        <v>45304</v>
      </c>
      <c r="D19" s="329" t="s">
        <v>44</v>
      </c>
      <c r="E19" s="329" t="s">
        <v>44</v>
      </c>
      <c r="F19" s="329" t="s">
        <v>44</v>
      </c>
      <c r="G19" s="329" t="s">
        <v>44</v>
      </c>
      <c r="H19" s="329" t="s">
        <v>44</v>
      </c>
      <c r="I19" s="329" t="s">
        <v>44</v>
      </c>
      <c r="J19" s="329" t="s">
        <v>44</v>
      </c>
      <c r="K19" s="329" t="s">
        <v>44</v>
      </c>
      <c r="L19" s="320">
        <f>Minták!E17</f>
        <v>45304</v>
      </c>
      <c r="M19" s="39" t="s">
        <v>44</v>
      </c>
      <c r="N19" s="39" t="s">
        <v>44</v>
      </c>
      <c r="O19" s="39" t="s">
        <v>44</v>
      </c>
      <c r="P19" s="331">
        <f t="shared" si="0"/>
        <v>2.2000000000000011</v>
      </c>
      <c r="Q19" s="331">
        <f t="shared" si="1"/>
        <v>11.199999999999996</v>
      </c>
      <c r="R19" s="331" t="s">
        <v>44</v>
      </c>
      <c r="S19" s="331" t="s">
        <v>44</v>
      </c>
      <c r="T19" s="329" t="s">
        <v>44</v>
      </c>
      <c r="U19" s="329" t="s">
        <v>44</v>
      </c>
      <c r="V19" s="329" t="s">
        <v>44</v>
      </c>
      <c r="W19" s="324" t="s">
        <v>44</v>
      </c>
      <c r="X19" s="209" t="str">
        <f>Minták!S17</f>
        <v>igen</v>
      </c>
      <c r="Z19" s="321" t="str">
        <f t="shared" si="2"/>
        <v>11/IV</v>
      </c>
      <c r="AA19" s="210">
        <f t="shared" si="3"/>
        <v>45302</v>
      </c>
      <c r="AB19" s="211" t="str">
        <f t="shared" si="4"/>
        <v>7136 Uovbwbhi Qnvptf</v>
      </c>
      <c r="AC19" s="322">
        <f t="shared" si="10"/>
        <v>45302</v>
      </c>
      <c r="AD19" s="212" t="str">
        <f t="shared" si="5"/>
        <v>-</v>
      </c>
      <c r="AE19" s="212" t="str">
        <f t="shared" si="6"/>
        <v>-</v>
      </c>
      <c r="AF19" s="325" t="str">
        <f t="shared" si="7"/>
        <v>-</v>
      </c>
      <c r="AG19" s="321" t="str">
        <f t="shared" si="8"/>
        <v>nem</v>
      </c>
      <c r="AH19" s="325" t="str">
        <f t="shared" si="9"/>
        <v>-</v>
      </c>
    </row>
    <row r="20" spans="1:34" ht="18" customHeight="1" x14ac:dyDescent="0.25">
      <c r="A20" s="65" t="str">
        <f>Minták!F18</f>
        <v>1730 Gpgmafj Mcsjny</v>
      </c>
      <c r="B20" s="208" t="str">
        <f>Minták!D18</f>
        <v>14/IV</v>
      </c>
      <c r="C20" s="209">
        <f>Minták!E18</f>
        <v>45305</v>
      </c>
      <c r="D20" s="329" t="s">
        <v>44</v>
      </c>
      <c r="E20" s="329" t="s">
        <v>44</v>
      </c>
      <c r="F20" s="329" t="s">
        <v>44</v>
      </c>
      <c r="G20" s="329" t="s">
        <v>44</v>
      </c>
      <c r="H20" s="323" t="s">
        <v>44</v>
      </c>
      <c r="I20" s="329" t="s">
        <v>44</v>
      </c>
      <c r="J20" s="329" t="s">
        <v>44</v>
      </c>
      <c r="K20" s="329" t="s">
        <v>44</v>
      </c>
      <c r="L20" s="320">
        <f>Minták!E18</f>
        <v>45305</v>
      </c>
      <c r="M20" s="39" t="s">
        <v>44</v>
      </c>
      <c r="N20" s="39" t="s">
        <v>44</v>
      </c>
      <c r="O20" s="39" t="s">
        <v>44</v>
      </c>
      <c r="P20" s="331">
        <f t="shared" si="0"/>
        <v>2.3000000000000012</v>
      </c>
      <c r="Q20" s="331">
        <f t="shared" si="1"/>
        <v>11.299999999999995</v>
      </c>
      <c r="R20" s="331" t="s">
        <v>44</v>
      </c>
      <c r="S20" s="329" t="s">
        <v>44</v>
      </c>
      <c r="T20" s="329" t="s">
        <v>44</v>
      </c>
      <c r="U20" s="329" t="s">
        <v>44</v>
      </c>
      <c r="V20" s="329" t="s">
        <v>44</v>
      </c>
      <c r="W20" s="324" t="s">
        <v>44</v>
      </c>
      <c r="X20" s="209" t="str">
        <f>Minták!S18</f>
        <v>igen</v>
      </c>
      <c r="Z20" s="321" t="str">
        <f t="shared" si="2"/>
        <v>12/IV</v>
      </c>
      <c r="AA20" s="210">
        <f t="shared" si="3"/>
        <v>45303</v>
      </c>
      <c r="AB20" s="211" t="str">
        <f t="shared" si="4"/>
        <v>3176 Swsvfdsfv Lebdoq</v>
      </c>
      <c r="AC20" s="322">
        <f t="shared" si="10"/>
        <v>45303</v>
      </c>
      <c r="AD20" s="212" t="str">
        <f t="shared" si="5"/>
        <v>-</v>
      </c>
      <c r="AE20" s="212" t="str">
        <f t="shared" si="6"/>
        <v>-</v>
      </c>
      <c r="AF20" s="325" t="str">
        <f t="shared" si="7"/>
        <v>-</v>
      </c>
      <c r="AG20" s="321" t="str">
        <f t="shared" si="8"/>
        <v>na</v>
      </c>
      <c r="AH20" s="325" t="str">
        <f t="shared" si="9"/>
        <v>-</v>
      </c>
    </row>
    <row r="21" spans="1:34" ht="18" customHeight="1" x14ac:dyDescent="0.25">
      <c r="A21" s="65" t="str">
        <f>Minták!F19</f>
        <v>2993 Yhabayh Rskdom</v>
      </c>
      <c r="B21" s="208" t="str">
        <f>Minták!D19</f>
        <v>15/IV</v>
      </c>
      <c r="C21" s="209">
        <f>Minták!E19</f>
        <v>45306</v>
      </c>
      <c r="D21" s="329" t="s">
        <v>44</v>
      </c>
      <c r="E21" s="329" t="s">
        <v>44</v>
      </c>
      <c r="F21" s="329" t="s">
        <v>44</v>
      </c>
      <c r="G21" s="329" t="s">
        <v>44</v>
      </c>
      <c r="H21" s="323" t="s">
        <v>44</v>
      </c>
      <c r="I21" s="329" t="s">
        <v>44</v>
      </c>
      <c r="J21" s="329" t="s">
        <v>44</v>
      </c>
      <c r="K21" s="329" t="s">
        <v>44</v>
      </c>
      <c r="L21" s="320">
        <f>Minták!E19</f>
        <v>45306</v>
      </c>
      <c r="M21" s="39" t="s">
        <v>44</v>
      </c>
      <c r="N21" s="39" t="s">
        <v>44</v>
      </c>
      <c r="O21" s="39" t="s">
        <v>44</v>
      </c>
      <c r="P21" s="331">
        <f t="shared" si="0"/>
        <v>2.4000000000000012</v>
      </c>
      <c r="Q21" s="331">
        <f t="shared" si="1"/>
        <v>11.399999999999995</v>
      </c>
      <c r="R21" s="331" t="s">
        <v>44</v>
      </c>
      <c r="S21" s="331" t="s">
        <v>44</v>
      </c>
      <c r="T21" s="329" t="s">
        <v>44</v>
      </c>
      <c r="U21" s="329" t="s">
        <v>44</v>
      </c>
      <c r="V21" s="329" t="s">
        <v>44</v>
      </c>
      <c r="W21" s="324" t="s">
        <v>44</v>
      </c>
      <c r="X21" s="209" t="str">
        <f>Minták!S19</f>
        <v>nem</v>
      </c>
      <c r="Z21" s="321" t="str">
        <f t="shared" si="2"/>
        <v>13/IV</v>
      </c>
      <c r="AA21" s="210">
        <f t="shared" si="3"/>
        <v>45304</v>
      </c>
      <c r="AB21" s="211" t="str">
        <f t="shared" si="4"/>
        <v>3916 Vqhezdzow Askfua</v>
      </c>
      <c r="AC21" s="322">
        <f t="shared" si="10"/>
        <v>45304</v>
      </c>
      <c r="AD21" s="212" t="str">
        <f t="shared" si="5"/>
        <v>-</v>
      </c>
      <c r="AE21" s="212" t="str">
        <f t="shared" si="6"/>
        <v>-</v>
      </c>
      <c r="AF21" s="325" t="str">
        <f t="shared" si="7"/>
        <v>-</v>
      </c>
      <c r="AG21" s="321" t="str">
        <f t="shared" si="8"/>
        <v>igen</v>
      </c>
      <c r="AH21" s="325" t="str">
        <f t="shared" si="9"/>
        <v>-</v>
      </c>
    </row>
    <row r="22" spans="1:34" ht="18" customHeight="1" x14ac:dyDescent="0.25">
      <c r="A22" s="65" t="str">
        <f>Minták!F20</f>
        <v>4856 Qbuvuiydc Jyhjzbmb</v>
      </c>
      <c r="B22" s="208" t="str">
        <f>Minták!D20</f>
        <v>16/IV</v>
      </c>
      <c r="C22" s="209">
        <f>Minták!E20</f>
        <v>45307</v>
      </c>
      <c r="D22" s="329" t="s">
        <v>44</v>
      </c>
      <c r="E22" s="329" t="s">
        <v>44</v>
      </c>
      <c r="F22" s="329" t="s">
        <v>44</v>
      </c>
      <c r="G22" s="329" t="s">
        <v>44</v>
      </c>
      <c r="H22" s="323" t="s">
        <v>44</v>
      </c>
      <c r="I22" s="329" t="s">
        <v>44</v>
      </c>
      <c r="J22" s="329" t="s">
        <v>44</v>
      </c>
      <c r="K22" s="329" t="s">
        <v>44</v>
      </c>
      <c r="L22" s="320">
        <f>Minták!E20</f>
        <v>45307</v>
      </c>
      <c r="M22" s="39" t="s">
        <v>44</v>
      </c>
      <c r="N22" s="39" t="s">
        <v>44</v>
      </c>
      <c r="O22" s="39" t="s">
        <v>44</v>
      </c>
      <c r="P22" s="331">
        <f t="shared" si="0"/>
        <v>2.5000000000000013</v>
      </c>
      <c r="Q22" s="331">
        <f t="shared" si="1"/>
        <v>11.499999999999995</v>
      </c>
      <c r="R22" s="331" t="s">
        <v>44</v>
      </c>
      <c r="S22" s="331" t="s">
        <v>44</v>
      </c>
      <c r="T22" s="329" t="s">
        <v>44</v>
      </c>
      <c r="U22" s="329" t="s">
        <v>44</v>
      </c>
      <c r="V22" s="329" t="s">
        <v>44</v>
      </c>
      <c r="W22" s="324" t="s">
        <v>44</v>
      </c>
      <c r="X22" s="209" t="str">
        <f>Minták!S20</f>
        <v>na</v>
      </c>
      <c r="Y22" s="213"/>
      <c r="Z22" s="321" t="str">
        <f t="shared" si="2"/>
        <v>14/IV</v>
      </c>
      <c r="AA22" s="210">
        <f t="shared" si="3"/>
        <v>45305</v>
      </c>
      <c r="AB22" s="211" t="str">
        <f t="shared" si="4"/>
        <v>1730 Gpgmafj Mcsjny</v>
      </c>
      <c r="AC22" s="322">
        <f t="shared" si="10"/>
        <v>45305</v>
      </c>
      <c r="AD22" s="212" t="str">
        <f t="shared" si="5"/>
        <v>-</v>
      </c>
      <c r="AE22" s="212" t="str">
        <f t="shared" si="6"/>
        <v>-</v>
      </c>
      <c r="AF22" s="325" t="str">
        <f t="shared" si="7"/>
        <v>-</v>
      </c>
      <c r="AG22" s="321" t="str">
        <f t="shared" si="8"/>
        <v>igen</v>
      </c>
      <c r="AH22" s="325" t="str">
        <f t="shared" si="9"/>
        <v>-</v>
      </c>
    </row>
    <row r="23" spans="1:34" ht="18" customHeight="1" x14ac:dyDescent="0.25">
      <c r="Z23" s="321" t="str">
        <f t="shared" si="2"/>
        <v>15/IV</v>
      </c>
      <c r="AA23" s="210">
        <f t="shared" si="3"/>
        <v>45306</v>
      </c>
      <c r="AB23" s="211" t="str">
        <f t="shared" si="4"/>
        <v>2993 Yhabayh Rskdom</v>
      </c>
      <c r="AC23" s="322">
        <f t="shared" si="10"/>
        <v>45306</v>
      </c>
      <c r="AD23" s="212" t="str">
        <f t="shared" si="5"/>
        <v>-</v>
      </c>
      <c r="AE23" s="212" t="str">
        <f t="shared" si="6"/>
        <v>-</v>
      </c>
      <c r="AF23" s="325" t="str">
        <f t="shared" si="7"/>
        <v>-</v>
      </c>
      <c r="AG23" s="321" t="str">
        <f t="shared" si="8"/>
        <v>nem</v>
      </c>
      <c r="AH23" s="325" t="str">
        <f t="shared" si="9"/>
        <v>-</v>
      </c>
    </row>
    <row r="24" spans="1:34" ht="18" customHeight="1" x14ac:dyDescent="0.25">
      <c r="Z24" s="321" t="str">
        <f t="shared" si="2"/>
        <v>16/IV</v>
      </c>
      <c r="AA24" s="210">
        <f t="shared" si="3"/>
        <v>45307</v>
      </c>
      <c r="AB24" s="211" t="str">
        <f t="shared" si="4"/>
        <v>4856 Qbuvuiydc Jyhjzbmb</v>
      </c>
      <c r="AC24" s="322">
        <f t="shared" si="10"/>
        <v>45307</v>
      </c>
      <c r="AD24" s="212" t="str">
        <f t="shared" si="5"/>
        <v>-</v>
      </c>
      <c r="AE24" s="212" t="str">
        <f t="shared" si="6"/>
        <v>-</v>
      </c>
      <c r="AF24" s="68" t="str">
        <f t="shared" si="7"/>
        <v>-</v>
      </c>
      <c r="AG24" s="321" t="str">
        <f t="shared" si="8"/>
        <v>na</v>
      </c>
      <c r="AH24" s="68" t="str">
        <f t="shared" si="9"/>
        <v>-</v>
      </c>
    </row>
    <row r="25" spans="1:34" ht="18" customHeight="1" x14ac:dyDescent="0.25">
      <c r="Z25" s="215"/>
      <c r="AA25" s="216"/>
      <c r="AB25" s="217"/>
      <c r="AC25" s="217"/>
      <c r="AD25" s="218"/>
      <c r="AE25" s="218"/>
      <c r="AF25" s="82"/>
      <c r="AG25" s="82"/>
      <c r="AH25" s="82"/>
    </row>
    <row r="26" spans="1:34" ht="18" customHeight="1" thickBot="1" x14ac:dyDescent="0.3">
      <c r="Z26" s="82"/>
      <c r="AA26" s="82"/>
      <c r="AB26" s="82"/>
      <c r="AC26" s="82"/>
      <c r="AD26" s="82" t="s">
        <v>38</v>
      </c>
      <c r="AE26" s="82"/>
      <c r="AF26" s="82"/>
      <c r="AG26" s="82"/>
      <c r="AH26" s="82"/>
    </row>
    <row r="27" spans="1:34" ht="18" customHeight="1" x14ac:dyDescent="0.25">
      <c r="F27" s="507" t="s">
        <v>367</v>
      </c>
      <c r="G27" s="507" t="s">
        <v>731</v>
      </c>
      <c r="H27" s="507" t="s">
        <v>732</v>
      </c>
      <c r="U27" s="539" t="s">
        <v>310</v>
      </c>
      <c r="V27" s="539" t="s">
        <v>794</v>
      </c>
      <c r="W27" s="539" t="s">
        <v>323</v>
      </c>
    </row>
    <row r="28" spans="1:34" ht="18" customHeight="1" x14ac:dyDescent="0.25">
      <c r="F28" s="508"/>
      <c r="G28" s="508"/>
      <c r="H28" s="508"/>
      <c r="U28" s="539"/>
      <c r="V28" s="539"/>
      <c r="W28" s="539"/>
    </row>
    <row r="29" spans="1:34" ht="18" customHeight="1" x14ac:dyDescent="0.25">
      <c r="F29" s="508"/>
      <c r="G29" s="508"/>
      <c r="H29" s="508"/>
      <c r="U29" s="539"/>
      <c r="V29" s="539"/>
      <c r="W29" s="539"/>
    </row>
    <row r="30" spans="1:34" ht="18" customHeight="1" x14ac:dyDescent="0.25">
      <c r="F30" s="509"/>
      <c r="G30" s="509"/>
      <c r="H30" s="509"/>
      <c r="U30" s="539"/>
      <c r="V30" s="539"/>
      <c r="W30" s="539"/>
    </row>
    <row r="31" spans="1:34" ht="18" customHeight="1" x14ac:dyDescent="0.25">
      <c r="F31" s="326" t="s">
        <v>726</v>
      </c>
      <c r="G31" s="327" t="s">
        <v>729</v>
      </c>
      <c r="H31" s="327" t="s">
        <v>736</v>
      </c>
      <c r="I31" s="327"/>
      <c r="J31" s="327"/>
      <c r="K31" s="327"/>
      <c r="U31" s="332" t="s">
        <v>811</v>
      </c>
      <c r="V31" s="330" t="s">
        <v>793</v>
      </c>
      <c r="W31" s="332" t="s">
        <v>811</v>
      </c>
    </row>
    <row r="32" spans="1:34" ht="18" customHeight="1" x14ac:dyDescent="0.25">
      <c r="F32" s="326" t="s">
        <v>727</v>
      </c>
      <c r="G32" s="327" t="s">
        <v>730</v>
      </c>
      <c r="H32" s="327" t="s">
        <v>740</v>
      </c>
      <c r="I32" s="327"/>
      <c r="J32" s="327"/>
      <c r="K32" s="327"/>
      <c r="U32" s="332" t="s">
        <v>812</v>
      </c>
      <c r="V32" s="330" t="s">
        <v>832</v>
      </c>
      <c r="W32" s="332" t="s">
        <v>812</v>
      </c>
    </row>
    <row r="33" spans="6:23" ht="18" customHeight="1" x14ac:dyDescent="0.25">
      <c r="F33" s="326" t="s">
        <v>728</v>
      </c>
      <c r="G33" s="328" t="s">
        <v>44</v>
      </c>
      <c r="H33" s="327" t="s">
        <v>737</v>
      </c>
      <c r="I33" s="327"/>
      <c r="J33" s="327"/>
      <c r="K33" s="327"/>
      <c r="U33" s="332" t="s">
        <v>316</v>
      </c>
      <c r="V33" s="330" t="s">
        <v>795</v>
      </c>
      <c r="W33" s="333" t="s">
        <v>44</v>
      </c>
    </row>
    <row r="34" spans="6:23" ht="18" customHeight="1" x14ac:dyDescent="0.25">
      <c r="F34" s="328" t="s">
        <v>44</v>
      </c>
      <c r="H34" s="327" t="s">
        <v>741</v>
      </c>
      <c r="U34" s="332" t="s">
        <v>833</v>
      </c>
      <c r="V34" s="330" t="s">
        <v>796</v>
      </c>
    </row>
    <row r="35" spans="6:23" ht="18" customHeight="1" x14ac:dyDescent="0.25">
      <c r="H35" s="327" t="s">
        <v>738</v>
      </c>
      <c r="U35" s="333" t="s">
        <v>44</v>
      </c>
      <c r="V35" s="328" t="s">
        <v>44</v>
      </c>
    </row>
    <row r="36" spans="6:23" ht="18" customHeight="1" x14ac:dyDescent="0.25">
      <c r="H36" s="327" t="s">
        <v>739</v>
      </c>
    </row>
    <row r="37" spans="6:23" ht="18" customHeight="1" x14ac:dyDescent="0.25">
      <c r="H37" s="327" t="s">
        <v>742</v>
      </c>
    </row>
    <row r="38" spans="6:23" ht="18" customHeight="1" x14ac:dyDescent="0.25">
      <c r="H38" s="328" t="s">
        <v>44</v>
      </c>
    </row>
    <row r="42" spans="6:23" ht="18" customHeight="1" x14ac:dyDescent="0.25">
      <c r="U42" s="334" t="s">
        <v>813</v>
      </c>
      <c r="V42" s="334" t="s">
        <v>73</v>
      </c>
    </row>
    <row r="43" spans="6:23" ht="18" customHeight="1" x14ac:dyDescent="0.25">
      <c r="U43" s="332" t="s">
        <v>811</v>
      </c>
      <c r="V43" s="334" t="s">
        <v>814</v>
      </c>
    </row>
    <row r="44" spans="6:23" ht="18" customHeight="1" x14ac:dyDescent="0.25">
      <c r="U44" s="332" t="s">
        <v>812</v>
      </c>
      <c r="V44" s="334" t="s">
        <v>815</v>
      </c>
    </row>
    <row r="45" spans="6:23" ht="18" customHeight="1" x14ac:dyDescent="0.25">
      <c r="U45" s="333" t="s">
        <v>44</v>
      </c>
      <c r="V45" s="333" t="s">
        <v>44</v>
      </c>
    </row>
  </sheetData>
  <sheetProtection algorithmName="SHA-512" hashValue="u8x2SHULMi/fws8VOwqo4MEGt0tBO7m8HDWL8RAZyYvyrlajZL9BXDg93ZZZowrdEZSnXazAjIi06iM9QOgECA==" saltValue="Jy0OmPO244yrfwRokWgrxQ==" spinCount="100000" sheet="1" objects="1" scenarios="1"/>
  <mergeCells count="47">
    <mergeCell ref="U27:U30"/>
    <mergeCell ref="F27:F30"/>
    <mergeCell ref="H3:H6"/>
    <mergeCell ref="I3:I6"/>
    <mergeCell ref="H27:H30"/>
    <mergeCell ref="AF6:AF8"/>
    <mergeCell ref="L3:L6"/>
    <mergeCell ref="AF1:AH1"/>
    <mergeCell ref="AF2:AH2"/>
    <mergeCell ref="G27:G30"/>
    <mergeCell ref="J3:J6"/>
    <mergeCell ref="K3:K6"/>
    <mergeCell ref="X3:X6"/>
    <mergeCell ref="V3:V6"/>
    <mergeCell ref="V27:V30"/>
    <mergeCell ref="P3:P6"/>
    <mergeCell ref="Q3:Q6"/>
    <mergeCell ref="R3:R6"/>
    <mergeCell ref="S3:S6"/>
    <mergeCell ref="T3:T6"/>
    <mergeCell ref="W27:W30"/>
    <mergeCell ref="Z1:AA4"/>
    <mergeCell ref="A3:A6"/>
    <mergeCell ref="B3:B6"/>
    <mergeCell ref="C3:C6"/>
    <mergeCell ref="F3:F6"/>
    <mergeCell ref="G3:G6"/>
    <mergeCell ref="M3:M6"/>
    <mergeCell ref="O3:O6"/>
    <mergeCell ref="D3:D6"/>
    <mergeCell ref="E3:E6"/>
    <mergeCell ref="AH6:AH8"/>
    <mergeCell ref="AD7:AD8"/>
    <mergeCell ref="AE7:AE8"/>
    <mergeCell ref="N3:N6"/>
    <mergeCell ref="U3:U6"/>
    <mergeCell ref="W3:W6"/>
    <mergeCell ref="Z6:Z8"/>
    <mergeCell ref="AA6:AA8"/>
    <mergeCell ref="AB6:AB8"/>
    <mergeCell ref="AF3:AH3"/>
    <mergeCell ref="AF4:AH4"/>
    <mergeCell ref="AB1:AE4"/>
    <mergeCell ref="AC6:AE6"/>
    <mergeCell ref="AC7:AC8"/>
    <mergeCell ref="AG6:AG8"/>
    <mergeCell ref="A1:X2"/>
  </mergeCells>
  <dataValidations count="6">
    <dataValidation type="list" allowBlank="1" showInputMessage="1" showErrorMessage="1" sqref="F7:F22" xr:uid="{C9C5B4BC-1BEF-4E90-971F-B664299A716D}">
      <formula1>$F$31:$F$34</formula1>
    </dataValidation>
    <dataValidation type="list" allowBlank="1" showInputMessage="1" showErrorMessage="1" sqref="G7:G22" xr:uid="{F5DD5530-0EE9-43C9-ABEF-2A695EE9CE84}">
      <formula1>$G$31:$G$33</formula1>
    </dataValidation>
    <dataValidation type="list" allowBlank="1" showInputMessage="1" showErrorMessage="1" sqref="H7:H22" xr:uid="{FFCBDCD0-7A8C-40D4-9FAC-990B969B8A55}">
      <formula1>$H$31:$H$38</formula1>
    </dataValidation>
    <dataValidation type="list" allowBlank="1" showInputMessage="1" showErrorMessage="1" sqref="V7:V22" xr:uid="{8B5930FB-DDF2-451C-83F6-501D63F827F6}">
      <formula1>$V$31:$V$35</formula1>
    </dataValidation>
    <dataValidation type="list" allowBlank="1" showInputMessage="1" showErrorMessage="1" sqref="W7:W22" xr:uid="{AE228CE1-AD78-42B9-8019-A9EEC6A01D2D}">
      <formula1>$W$31:$W$33</formula1>
    </dataValidation>
    <dataValidation type="list" allowBlank="1" showInputMessage="1" showErrorMessage="1" sqref="U7:U22" xr:uid="{9D5A8B8F-76F7-4792-B84D-353B6870658C}">
      <formula1>$U$31:$U$35</formula1>
    </dataValidation>
  </dataValidations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88B0E-2A13-414D-9D1B-AFAA6373F073}">
  <sheetPr codeName="Munka16"/>
  <dimension ref="A1:CE52"/>
  <sheetViews>
    <sheetView topLeftCell="C1" zoomScaleNormal="100" zoomScaleSheetLayoutView="70" workbookViewId="0">
      <selection activeCell="A3" sqref="A3:A6"/>
    </sheetView>
  </sheetViews>
  <sheetFormatPr defaultColWidth="8.85546875" defaultRowHeight="15.6" customHeight="1" x14ac:dyDescent="0.25"/>
  <cols>
    <col min="1" max="1" width="2.85546875" style="327" customWidth="1"/>
    <col min="2" max="2" width="45.42578125" style="327" customWidth="1"/>
    <col min="3" max="3" width="8.85546875" style="327"/>
    <col min="4" max="4" width="10.42578125" style="327" customWidth="1"/>
    <col min="5" max="26" width="10.42578125" style="327" hidden="1" customWidth="1"/>
    <col min="27" max="27" width="6" style="327" customWidth="1"/>
    <col min="28" max="28" width="14" style="327" customWidth="1"/>
    <col min="29" max="50" width="10.42578125" style="327" hidden="1" customWidth="1"/>
    <col min="51" max="51" width="3.7109375" style="30" customWidth="1"/>
    <col min="52" max="52" width="3.28515625" style="327" customWidth="1"/>
    <col min="53" max="53" width="31.5703125" style="327" customWidth="1"/>
    <col min="54" max="54" width="12.5703125" style="327" customWidth="1"/>
    <col min="55" max="55" width="10.140625" style="327" customWidth="1"/>
    <col min="56" max="56" width="3.28515625" style="327" customWidth="1"/>
    <col min="57" max="57" width="3.7109375" style="30" customWidth="1"/>
    <col min="58" max="58" width="3.28515625" customWidth="1"/>
    <col min="59" max="81" width="3.7109375" style="326" customWidth="1"/>
    <col min="82" max="82" width="3.7109375" customWidth="1"/>
    <col min="83" max="83" width="3.7109375" style="30" customWidth="1"/>
  </cols>
  <sheetData>
    <row r="1" spans="1:81" ht="15.6" customHeight="1" x14ac:dyDescent="0.25">
      <c r="B1" s="555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556"/>
      <c r="T1" s="556"/>
      <c r="U1" s="556"/>
      <c r="V1" s="556"/>
      <c r="W1" s="556"/>
      <c r="X1" s="556"/>
      <c r="Y1" s="557"/>
      <c r="Z1" s="540"/>
      <c r="AA1" s="541"/>
      <c r="AB1" s="541"/>
      <c r="AC1" s="541"/>
      <c r="AD1" s="541"/>
      <c r="AE1" s="541"/>
      <c r="AF1" s="541"/>
      <c r="AG1" s="541"/>
      <c r="AH1" s="541"/>
      <c r="AI1" s="541"/>
      <c r="AJ1" s="541"/>
      <c r="AK1" s="541"/>
      <c r="AL1" s="541"/>
      <c r="AM1" s="541"/>
      <c r="AN1" s="541"/>
      <c r="AO1" s="541"/>
      <c r="AP1" s="541"/>
      <c r="AQ1" s="541"/>
      <c r="AR1" s="541"/>
      <c r="AS1" s="541"/>
      <c r="AT1" s="541"/>
      <c r="AU1" s="541"/>
      <c r="AV1" s="541"/>
      <c r="AW1" s="541"/>
      <c r="AX1" s="542"/>
      <c r="BA1" s="342" t="s">
        <v>859</v>
      </c>
      <c r="BB1" s="343" t="s">
        <v>860</v>
      </c>
      <c r="BG1" s="632"/>
      <c r="BH1" s="633"/>
      <c r="BI1" s="633"/>
      <c r="BJ1" s="633"/>
      <c r="BK1" s="633"/>
      <c r="BL1" s="633"/>
      <c r="BM1" s="633"/>
      <c r="BN1" s="633"/>
      <c r="BO1" s="634"/>
      <c r="BP1" s="623" t="s">
        <v>801</v>
      </c>
      <c r="BQ1" s="624"/>
      <c r="BR1" s="624"/>
      <c r="BS1" s="624"/>
      <c r="BT1" s="624"/>
      <c r="BU1" s="624"/>
      <c r="BV1" s="624"/>
      <c r="BW1" s="624"/>
      <c r="BX1" s="624"/>
      <c r="BY1" s="624"/>
      <c r="BZ1" s="624"/>
      <c r="CA1" s="624"/>
      <c r="CB1" s="624"/>
      <c r="CC1" s="625"/>
    </row>
    <row r="2" spans="1:81" ht="15.6" customHeight="1" thickBot="1" x14ac:dyDescent="0.3">
      <c r="B2" s="558"/>
      <c r="C2" s="559"/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559"/>
      <c r="Q2" s="559"/>
      <c r="R2" s="559"/>
      <c r="S2" s="559"/>
      <c r="T2" s="559"/>
      <c r="U2" s="559"/>
      <c r="V2" s="559"/>
      <c r="W2" s="559"/>
      <c r="X2" s="559"/>
      <c r="Y2" s="560"/>
      <c r="Z2" s="543"/>
      <c r="AA2" s="544"/>
      <c r="AB2" s="544"/>
      <c r="AC2" s="544"/>
      <c r="AD2" s="544"/>
      <c r="AE2" s="544"/>
      <c r="AF2" s="544"/>
      <c r="AG2" s="544"/>
      <c r="AH2" s="544"/>
      <c r="AI2" s="544"/>
      <c r="AJ2" s="544"/>
      <c r="AK2" s="544"/>
      <c r="AL2" s="544"/>
      <c r="AM2" s="544"/>
      <c r="AN2" s="544"/>
      <c r="AO2" s="544"/>
      <c r="AP2" s="544"/>
      <c r="AQ2" s="544"/>
      <c r="AR2" s="544"/>
      <c r="AS2" s="544"/>
      <c r="AT2" s="544"/>
      <c r="AU2" s="544"/>
      <c r="AV2" s="544"/>
      <c r="AW2" s="544"/>
      <c r="AX2" s="545"/>
      <c r="BG2" s="635"/>
      <c r="BH2" s="636"/>
      <c r="BI2" s="636"/>
      <c r="BJ2" s="636"/>
      <c r="BK2" s="636"/>
      <c r="BL2" s="636"/>
      <c r="BM2" s="636"/>
      <c r="BN2" s="636"/>
      <c r="BO2" s="637"/>
      <c r="BP2" s="626"/>
      <c r="BQ2" s="627"/>
      <c r="BR2" s="627"/>
      <c r="BS2" s="627"/>
      <c r="BT2" s="627"/>
      <c r="BU2" s="627"/>
      <c r="BV2" s="627"/>
      <c r="BW2" s="627"/>
      <c r="BX2" s="627"/>
      <c r="BY2" s="627"/>
      <c r="BZ2" s="627"/>
      <c r="CA2" s="627"/>
      <c r="CB2" s="627"/>
      <c r="CC2" s="628"/>
    </row>
    <row r="3" spans="1:81" ht="15.6" customHeight="1" x14ac:dyDescent="0.25">
      <c r="A3" s="507" t="s">
        <v>723</v>
      </c>
      <c r="B3" s="552" t="s">
        <v>305</v>
      </c>
      <c r="C3" s="546" t="s">
        <v>20</v>
      </c>
      <c r="D3" s="546" t="s">
        <v>717</v>
      </c>
      <c r="E3" s="546" t="s">
        <v>749</v>
      </c>
      <c r="F3" s="546" t="s">
        <v>750</v>
      </c>
      <c r="G3" s="546" t="s">
        <v>367</v>
      </c>
      <c r="H3" s="546" t="s">
        <v>731</v>
      </c>
      <c r="I3" s="546" t="s">
        <v>732</v>
      </c>
      <c r="J3" s="546" t="s">
        <v>733</v>
      </c>
      <c r="K3" s="546" t="s">
        <v>734</v>
      </c>
      <c r="L3" s="546" t="s">
        <v>735</v>
      </c>
      <c r="M3" s="546" t="s">
        <v>21</v>
      </c>
      <c r="N3" s="546" t="s">
        <v>791</v>
      </c>
      <c r="O3" s="546" t="s">
        <v>328</v>
      </c>
      <c r="P3" s="546" t="s">
        <v>322</v>
      </c>
      <c r="Q3" s="546" t="s">
        <v>802</v>
      </c>
      <c r="R3" s="546" t="s">
        <v>803</v>
      </c>
      <c r="S3" s="546" t="s">
        <v>804</v>
      </c>
      <c r="T3" s="546" t="s">
        <v>805</v>
      </c>
      <c r="U3" s="546" t="s">
        <v>806</v>
      </c>
      <c r="V3" s="546" t="s">
        <v>310</v>
      </c>
      <c r="W3" s="546" t="s">
        <v>794</v>
      </c>
      <c r="X3" s="546" t="s">
        <v>323</v>
      </c>
      <c r="Y3" s="549" t="s">
        <v>743</v>
      </c>
      <c r="Z3" s="552" t="s">
        <v>127</v>
      </c>
      <c r="AA3" s="546" t="s">
        <v>311</v>
      </c>
      <c r="AB3" s="552" t="s">
        <v>700</v>
      </c>
      <c r="AC3" s="546" t="s">
        <v>768</v>
      </c>
      <c r="AD3" s="546" t="s">
        <v>767</v>
      </c>
      <c r="AE3" s="546" t="s">
        <v>766</v>
      </c>
      <c r="AF3" s="546" t="s">
        <v>779</v>
      </c>
      <c r="AG3" s="546" t="s">
        <v>769</v>
      </c>
      <c r="AH3" s="546" t="s">
        <v>771</v>
      </c>
      <c r="AI3" s="546" t="s">
        <v>765</v>
      </c>
      <c r="AJ3" s="546" t="s">
        <v>780</v>
      </c>
      <c r="AK3" s="546" t="s">
        <v>772</v>
      </c>
      <c r="AL3" s="546" t="s">
        <v>826</v>
      </c>
      <c r="AM3" s="546" t="s">
        <v>827</v>
      </c>
      <c r="AN3" s="546" t="s">
        <v>775</v>
      </c>
      <c r="AO3" s="546" t="s">
        <v>773</v>
      </c>
      <c r="AP3" s="546" t="s">
        <v>781</v>
      </c>
      <c r="AQ3" s="546" t="s">
        <v>776</v>
      </c>
      <c r="AR3" s="546" t="s">
        <v>777</v>
      </c>
      <c r="AS3" s="546" t="s">
        <v>778</v>
      </c>
      <c r="AT3" s="546" t="s">
        <v>774</v>
      </c>
      <c r="AU3" s="546" t="s">
        <v>782</v>
      </c>
      <c r="AV3" s="546" t="s">
        <v>783</v>
      </c>
      <c r="AW3" s="546" t="s">
        <v>784</v>
      </c>
      <c r="AX3" s="549" t="s">
        <v>858</v>
      </c>
      <c r="BA3" s="334" t="s">
        <v>823</v>
      </c>
      <c r="BB3" s="377" t="s">
        <v>755</v>
      </c>
      <c r="BG3" s="635"/>
      <c r="BH3" s="636"/>
      <c r="BI3" s="636"/>
      <c r="BJ3" s="636"/>
      <c r="BK3" s="636"/>
      <c r="BL3" s="636"/>
      <c r="BM3" s="636"/>
      <c r="BN3" s="636"/>
      <c r="BO3" s="637"/>
      <c r="BP3" s="626"/>
      <c r="BQ3" s="627"/>
      <c r="BR3" s="627"/>
      <c r="BS3" s="627"/>
      <c r="BT3" s="627"/>
      <c r="BU3" s="627"/>
      <c r="BV3" s="627"/>
      <c r="BW3" s="627"/>
      <c r="BX3" s="627"/>
      <c r="BY3" s="627"/>
      <c r="BZ3" s="627"/>
      <c r="CA3" s="627"/>
      <c r="CB3" s="627"/>
      <c r="CC3" s="628"/>
    </row>
    <row r="4" spans="1:81" ht="15.6" customHeight="1" x14ac:dyDescent="0.25">
      <c r="A4" s="508"/>
      <c r="B4" s="553"/>
      <c r="C4" s="547"/>
      <c r="D4" s="547"/>
      <c r="E4" s="547"/>
      <c r="F4" s="547"/>
      <c r="G4" s="547"/>
      <c r="H4" s="547"/>
      <c r="I4" s="547"/>
      <c r="J4" s="547"/>
      <c r="K4" s="547"/>
      <c r="L4" s="547"/>
      <c r="M4" s="547"/>
      <c r="N4" s="547"/>
      <c r="O4" s="547"/>
      <c r="P4" s="547"/>
      <c r="Q4" s="547"/>
      <c r="R4" s="547"/>
      <c r="S4" s="547"/>
      <c r="T4" s="547"/>
      <c r="U4" s="547"/>
      <c r="V4" s="547"/>
      <c r="W4" s="547"/>
      <c r="X4" s="547"/>
      <c r="Y4" s="550"/>
      <c r="Z4" s="553"/>
      <c r="AA4" s="547"/>
      <c r="AB4" s="553"/>
      <c r="AC4" s="547"/>
      <c r="AD4" s="547"/>
      <c r="AE4" s="547"/>
      <c r="AF4" s="547"/>
      <c r="AG4" s="547"/>
      <c r="AH4" s="547"/>
      <c r="AI4" s="547"/>
      <c r="AJ4" s="547"/>
      <c r="AK4" s="547"/>
      <c r="AL4" s="547"/>
      <c r="AM4" s="547"/>
      <c r="AN4" s="547"/>
      <c r="AO4" s="547"/>
      <c r="AP4" s="547"/>
      <c r="AQ4" s="547"/>
      <c r="AR4" s="547"/>
      <c r="AS4" s="547"/>
      <c r="AT4" s="547"/>
      <c r="AU4" s="547"/>
      <c r="AV4" s="547"/>
      <c r="AW4" s="547"/>
      <c r="AX4" s="550"/>
      <c r="BA4" s="334" t="s">
        <v>824</v>
      </c>
      <c r="BB4" s="377" t="s">
        <v>754</v>
      </c>
      <c r="BG4" s="612"/>
      <c r="BH4" s="613"/>
      <c r="BI4" s="613"/>
      <c r="BJ4" s="613"/>
      <c r="BK4" s="613"/>
      <c r="BL4" s="613"/>
      <c r="BM4" s="613"/>
      <c r="BN4" s="613"/>
      <c r="BO4" s="638"/>
      <c r="BP4" s="629"/>
      <c r="BQ4" s="630"/>
      <c r="BR4" s="630"/>
      <c r="BS4" s="630"/>
      <c r="BT4" s="630"/>
      <c r="BU4" s="630"/>
      <c r="BV4" s="630"/>
      <c r="BW4" s="630"/>
      <c r="BX4" s="630"/>
      <c r="BY4" s="630"/>
      <c r="BZ4" s="630"/>
      <c r="CA4" s="630"/>
      <c r="CB4" s="630"/>
      <c r="CC4" s="631"/>
    </row>
    <row r="5" spans="1:81" ht="15.6" customHeight="1" thickBot="1" x14ac:dyDescent="0.3">
      <c r="A5" s="508"/>
      <c r="B5" s="553"/>
      <c r="C5" s="547"/>
      <c r="D5" s="547"/>
      <c r="E5" s="547"/>
      <c r="F5" s="547"/>
      <c r="G5" s="547"/>
      <c r="H5" s="547"/>
      <c r="I5" s="547"/>
      <c r="J5" s="547"/>
      <c r="K5" s="547"/>
      <c r="L5" s="547"/>
      <c r="M5" s="547"/>
      <c r="N5" s="547"/>
      <c r="O5" s="547"/>
      <c r="P5" s="547"/>
      <c r="Q5" s="547"/>
      <c r="R5" s="547"/>
      <c r="S5" s="547"/>
      <c r="T5" s="547"/>
      <c r="U5" s="547"/>
      <c r="V5" s="547"/>
      <c r="W5" s="547"/>
      <c r="X5" s="547"/>
      <c r="Y5" s="550"/>
      <c r="Z5" s="553"/>
      <c r="AA5" s="547"/>
      <c r="AB5" s="553"/>
      <c r="AC5" s="547"/>
      <c r="AD5" s="547"/>
      <c r="AE5" s="547"/>
      <c r="AF5" s="547"/>
      <c r="AG5" s="547"/>
      <c r="AH5" s="547"/>
      <c r="AI5" s="547"/>
      <c r="AJ5" s="547"/>
      <c r="AK5" s="547"/>
      <c r="AL5" s="547"/>
      <c r="AM5" s="547"/>
      <c r="AN5" s="547"/>
      <c r="AO5" s="547"/>
      <c r="AP5" s="547"/>
      <c r="AQ5" s="547"/>
      <c r="AR5" s="547"/>
      <c r="AS5" s="547"/>
      <c r="AT5" s="547"/>
      <c r="AU5" s="547"/>
      <c r="AV5" s="547"/>
      <c r="AW5" s="547"/>
      <c r="AX5" s="550"/>
      <c r="BA5" s="334" t="s">
        <v>763</v>
      </c>
      <c r="BB5" s="377" t="s">
        <v>762</v>
      </c>
      <c r="BG5" s="639" t="s">
        <v>825</v>
      </c>
      <c r="BH5" s="640"/>
      <c r="BI5" s="640"/>
      <c r="BJ5" s="640"/>
      <c r="BK5" s="640"/>
      <c r="BL5" s="640"/>
      <c r="BM5" s="640"/>
      <c r="BN5" s="640"/>
      <c r="BO5" s="640"/>
      <c r="BP5" s="640"/>
      <c r="BQ5" s="640"/>
      <c r="BR5" s="640"/>
      <c r="BS5" s="640"/>
      <c r="BT5" s="640"/>
      <c r="BU5" s="640"/>
      <c r="BV5" s="640"/>
      <c r="BW5" s="640"/>
      <c r="BX5" s="640"/>
      <c r="BY5" s="640"/>
      <c r="BZ5" s="640"/>
      <c r="CA5" s="640"/>
      <c r="CB5" s="640"/>
      <c r="CC5" s="641"/>
    </row>
    <row r="6" spans="1:81" ht="15.6" customHeight="1" x14ac:dyDescent="0.25">
      <c r="A6" s="509"/>
      <c r="B6" s="554"/>
      <c r="C6" s="548"/>
      <c r="D6" s="548"/>
      <c r="E6" s="548"/>
      <c r="F6" s="548"/>
      <c r="G6" s="548"/>
      <c r="H6" s="548"/>
      <c r="I6" s="548"/>
      <c r="J6" s="548"/>
      <c r="K6" s="548"/>
      <c r="L6" s="548"/>
      <c r="M6" s="548"/>
      <c r="N6" s="548"/>
      <c r="O6" s="548"/>
      <c r="P6" s="548"/>
      <c r="Q6" s="548"/>
      <c r="R6" s="548"/>
      <c r="S6" s="548"/>
      <c r="T6" s="548"/>
      <c r="U6" s="548"/>
      <c r="V6" s="548"/>
      <c r="W6" s="548"/>
      <c r="X6" s="548"/>
      <c r="Y6" s="551"/>
      <c r="Z6" s="554"/>
      <c r="AA6" s="548"/>
      <c r="AB6" s="554"/>
      <c r="AC6" s="548"/>
      <c r="AD6" s="548"/>
      <c r="AE6" s="548"/>
      <c r="AF6" s="548"/>
      <c r="AG6" s="548"/>
      <c r="AH6" s="548"/>
      <c r="AI6" s="548"/>
      <c r="AJ6" s="548"/>
      <c r="AK6" s="548"/>
      <c r="AL6" s="548"/>
      <c r="AM6" s="548"/>
      <c r="AN6" s="548"/>
      <c r="AO6" s="548"/>
      <c r="AP6" s="548"/>
      <c r="AQ6" s="548"/>
      <c r="AR6" s="548"/>
      <c r="AS6" s="548"/>
      <c r="AT6" s="548"/>
      <c r="AU6" s="548"/>
      <c r="AV6" s="548"/>
      <c r="AW6" s="548"/>
      <c r="AX6" s="551"/>
      <c r="BA6" s="334" t="s">
        <v>809</v>
      </c>
      <c r="BB6" s="377" t="s">
        <v>44</v>
      </c>
      <c r="BC6" s="21" t="s">
        <v>810</v>
      </c>
      <c r="BG6" s="561" t="s">
        <v>744</v>
      </c>
      <c r="BH6" s="562"/>
      <c r="BI6" s="562"/>
      <c r="BJ6" s="562"/>
      <c r="BK6" s="562"/>
      <c r="BL6" s="562"/>
      <c r="BM6" s="562"/>
      <c r="BN6" s="562"/>
      <c r="BO6" s="562"/>
      <c r="BP6" s="562"/>
      <c r="BQ6" s="562"/>
      <c r="BR6" s="562"/>
      <c r="BS6" s="562"/>
      <c r="BT6" s="562"/>
      <c r="BU6" s="562"/>
      <c r="BV6" s="562"/>
      <c r="BW6" s="562"/>
      <c r="BX6" s="562"/>
      <c r="BY6" s="562"/>
      <c r="BZ6" s="562"/>
      <c r="CA6" s="562"/>
      <c r="CB6" s="562"/>
      <c r="CC6" s="563"/>
    </row>
    <row r="7" spans="1:81" ht="15.6" customHeight="1" x14ac:dyDescent="0.25">
      <c r="A7" s="378" t="s">
        <v>44</v>
      </c>
      <c r="B7" s="344" t="str">
        <f>MV!A7</f>
        <v>8351 Nhmzzmsdqh Nhhlz</v>
      </c>
      <c r="C7" s="345" t="str">
        <f>MV!B7</f>
        <v>1/IV</v>
      </c>
      <c r="D7" s="346">
        <f>MV!C7</f>
        <v>45292</v>
      </c>
      <c r="E7" s="345" t="str">
        <f>MV!D7</f>
        <v>-</v>
      </c>
      <c r="F7" s="345" t="str">
        <f>MV!E7</f>
        <v>-</v>
      </c>
      <c r="G7" s="345" t="str">
        <f>MV!F7</f>
        <v>-</v>
      </c>
      <c r="H7" s="345" t="str">
        <f>MV!G7</f>
        <v>-</v>
      </c>
      <c r="I7" s="345" t="str">
        <f>MV!H7</f>
        <v>-</v>
      </c>
      <c r="J7" s="345" t="str">
        <f>MV!I7</f>
        <v>-</v>
      </c>
      <c r="K7" s="345" t="str">
        <f>MV!J7</f>
        <v>-</v>
      </c>
      <c r="L7" s="345" t="str">
        <f>MV!K7</f>
        <v>-</v>
      </c>
      <c r="M7" s="346">
        <f>MV!L7</f>
        <v>45292</v>
      </c>
      <c r="N7" s="347" t="str">
        <f>MV!M7</f>
        <v>-</v>
      </c>
      <c r="O7" s="347" t="str">
        <f>MV!N7</f>
        <v>-</v>
      </c>
      <c r="P7" s="347" t="str">
        <f>MV!O7</f>
        <v>-</v>
      </c>
      <c r="Q7" s="345">
        <f>MV!P7</f>
        <v>1</v>
      </c>
      <c r="R7" s="345">
        <f>MV!Q7</f>
        <v>10</v>
      </c>
      <c r="S7" s="345" t="str">
        <f>MV!R7</f>
        <v>-</v>
      </c>
      <c r="T7" s="345" t="str">
        <f>MV!S7</f>
        <v>-</v>
      </c>
      <c r="U7" s="345" t="str">
        <f>MV!T7</f>
        <v>-</v>
      </c>
      <c r="V7" s="345" t="str">
        <f>MV!U7</f>
        <v>-</v>
      </c>
      <c r="W7" s="345" t="str">
        <f>MV!V7</f>
        <v>-</v>
      </c>
      <c r="X7" s="345" t="str">
        <f>MV!W7</f>
        <v>-</v>
      </c>
      <c r="Y7" s="348" t="str">
        <f>MV!X7</f>
        <v>igen</v>
      </c>
      <c r="Z7" s="349" t="str">
        <f>Minták!F5</f>
        <v>8351 Nhmzzmsdqh Nhhlz</v>
      </c>
      <c r="AA7" s="346" t="str">
        <f>Minták!C5</f>
        <v>IV</v>
      </c>
      <c r="AB7" s="350" t="str">
        <f>Minták!X5</f>
        <v>A</v>
      </c>
      <c r="AC7" s="351" t="str">
        <f>Minták!Y5</f>
        <v>x</v>
      </c>
      <c r="AD7" s="351" t="str">
        <f>Minták!Z5</f>
        <v>-</v>
      </c>
      <c r="AE7" s="351" t="str">
        <f>Minták!AA5</f>
        <v>x</v>
      </c>
      <c r="AF7" s="351" t="str">
        <f>Minták!AB5</f>
        <v>-</v>
      </c>
      <c r="AG7" s="351" t="str">
        <f>Minták!AC5</f>
        <v>-</v>
      </c>
      <c r="AH7" s="351" t="str">
        <f>Minták!AD5</f>
        <v>x</v>
      </c>
      <c r="AI7" s="351" t="str">
        <f>Minták!AE5</f>
        <v>x</v>
      </c>
      <c r="AJ7" s="351" t="str">
        <f>Minták!AF5</f>
        <v>x</v>
      </c>
      <c r="AK7" s="351" t="str">
        <f>Minták!AG5</f>
        <v>x</v>
      </c>
      <c r="AL7" s="351" t="str">
        <f>Minták!AH5</f>
        <v>-</v>
      </c>
      <c r="AM7" s="351" t="str">
        <f>Minták!AI5</f>
        <v>x</v>
      </c>
      <c r="AN7" s="351" t="str">
        <f>Minták!AJ5</f>
        <v>-</v>
      </c>
      <c r="AO7" s="351" t="str">
        <f>Minták!AK5</f>
        <v>-</v>
      </c>
      <c r="AP7" s="351" t="str">
        <f>Minták!AL5</f>
        <v>-</v>
      </c>
      <c r="AQ7" s="351" t="str">
        <f>Minták!AM5</f>
        <v>-</v>
      </c>
      <c r="AR7" s="351" t="str">
        <f>Minták!AN5</f>
        <v>-</v>
      </c>
      <c r="AS7" s="351" t="str">
        <f>Minták!AO5</f>
        <v>-</v>
      </c>
      <c r="AT7" s="351" t="str">
        <f>Minták!AP5</f>
        <v>-</v>
      </c>
      <c r="AU7" s="351" t="str">
        <f>Minták!AQ5</f>
        <v>x</v>
      </c>
      <c r="AV7" s="351" t="str">
        <f>Minták!AR5</f>
        <v>x</v>
      </c>
      <c r="AW7" s="351" t="str">
        <f>Minták!AS5</f>
        <v>x</v>
      </c>
      <c r="AX7" s="352" t="str">
        <f>Minták!AT5</f>
        <v>-</v>
      </c>
      <c r="BA7" s="353" t="s">
        <v>858</v>
      </c>
      <c r="BB7" s="334" t="e">
        <f t="shared" ref="BB7:BB52" si="0">VLOOKUP("x",$A$7:$AY$22,_xlfn.XMATCH(BA7,$A$3:$AY$3,0),FALSE)</f>
        <v>#N/A</v>
      </c>
      <c r="BG7" s="564"/>
      <c r="BH7" s="565"/>
      <c r="BI7" s="565"/>
      <c r="BJ7" s="565"/>
      <c r="BK7" s="565"/>
      <c r="BL7" s="565"/>
      <c r="BM7" s="565"/>
      <c r="BN7" s="565"/>
      <c r="BO7" s="565"/>
      <c r="BP7" s="565"/>
      <c r="BQ7" s="565"/>
      <c r="BR7" s="565"/>
      <c r="BS7" s="565"/>
      <c r="BT7" s="565"/>
      <c r="BU7" s="565"/>
      <c r="BV7" s="565"/>
      <c r="BW7" s="565"/>
      <c r="BX7" s="565"/>
      <c r="BY7" s="565"/>
      <c r="BZ7" s="565"/>
      <c r="CA7" s="565"/>
      <c r="CB7" s="565"/>
      <c r="CC7" s="566"/>
    </row>
    <row r="8" spans="1:81" ht="15.6" customHeight="1" x14ac:dyDescent="0.25">
      <c r="A8" s="378" t="s">
        <v>44</v>
      </c>
      <c r="B8" s="344" t="str">
        <f>MV!A8</f>
        <v>ADATOT BEÍRNI</v>
      </c>
      <c r="C8" s="345" t="str">
        <f>MV!B8</f>
        <v>2/IV</v>
      </c>
      <c r="D8" s="346">
        <f>MV!C8</f>
        <v>45293</v>
      </c>
      <c r="E8" s="345" t="str">
        <f>MV!D8</f>
        <v>-</v>
      </c>
      <c r="F8" s="345" t="str">
        <f>MV!E8</f>
        <v>-</v>
      </c>
      <c r="G8" s="345" t="str">
        <f>MV!F8</f>
        <v>-</v>
      </c>
      <c r="H8" s="345" t="str">
        <f>MV!G8</f>
        <v>-</v>
      </c>
      <c r="I8" s="345" t="str">
        <f>MV!H8</f>
        <v>-</v>
      </c>
      <c r="J8" s="345" t="str">
        <f>MV!I8</f>
        <v>-</v>
      </c>
      <c r="K8" s="345" t="str">
        <f>MV!J8</f>
        <v>-</v>
      </c>
      <c r="L8" s="345" t="str">
        <f>MV!K8</f>
        <v>-</v>
      </c>
      <c r="M8" s="346">
        <f>MV!L8</f>
        <v>45293</v>
      </c>
      <c r="N8" s="347" t="str">
        <f>MV!M8</f>
        <v>-</v>
      </c>
      <c r="O8" s="347" t="str">
        <f>MV!N8</f>
        <v>-</v>
      </c>
      <c r="P8" s="347" t="str">
        <f>MV!O8</f>
        <v>-</v>
      </c>
      <c r="Q8" s="345">
        <f>MV!P8</f>
        <v>1.1000000000000001</v>
      </c>
      <c r="R8" s="345">
        <f>MV!Q8</f>
        <v>10.1</v>
      </c>
      <c r="S8" s="345" t="str">
        <f>MV!R8</f>
        <v>-</v>
      </c>
      <c r="T8" s="345" t="str">
        <f>MV!S8</f>
        <v>-</v>
      </c>
      <c r="U8" s="345" t="str">
        <f>MV!T8</f>
        <v>-</v>
      </c>
      <c r="V8" s="345" t="str">
        <f>MV!U8</f>
        <v>-</v>
      </c>
      <c r="W8" s="345" t="str">
        <f>MV!V8</f>
        <v>-</v>
      </c>
      <c r="X8" s="345" t="str">
        <f>MV!W8</f>
        <v>-</v>
      </c>
      <c r="Y8" s="348" t="str">
        <f>MV!X8</f>
        <v>nem</v>
      </c>
      <c r="Z8" s="349" t="str">
        <f>Minták!F6</f>
        <v>ADATOT BEÍRNI</v>
      </c>
      <c r="AA8" s="346" t="str">
        <f>Minták!C6</f>
        <v>IV</v>
      </c>
      <c r="AB8" s="350" t="str">
        <f>Minták!X6</f>
        <v>B1</v>
      </c>
      <c r="AC8" s="351" t="str">
        <f>Minták!Y6</f>
        <v>-</v>
      </c>
      <c r="AD8" s="351" t="str">
        <f>Minták!Z6</f>
        <v>x</v>
      </c>
      <c r="AE8" s="351" t="str">
        <f>Minták!AA6</f>
        <v>-</v>
      </c>
      <c r="AF8" s="351" t="str">
        <f>Minták!AB6</f>
        <v>x</v>
      </c>
      <c r="AG8" s="351" t="str">
        <f>Minták!AC6</f>
        <v>x</v>
      </c>
      <c r="AH8" s="351" t="str">
        <f>Minták!AD6</f>
        <v>-</v>
      </c>
      <c r="AI8" s="351" t="str">
        <f>Minták!AE6</f>
        <v>-</v>
      </c>
      <c r="AJ8" s="351" t="str">
        <f>Minták!AF6</f>
        <v>-</v>
      </c>
      <c r="AK8" s="351" t="str">
        <f>Minták!AG6</f>
        <v>-</v>
      </c>
      <c r="AL8" s="351" t="str">
        <f>Minták!AH6</f>
        <v>-</v>
      </c>
      <c r="AM8" s="351" t="str">
        <f>Minták!AI6</f>
        <v>-</v>
      </c>
      <c r="AN8" s="351" t="str">
        <f>Minták!AJ6</f>
        <v>-</v>
      </c>
      <c r="AO8" s="351" t="str">
        <f>Minták!AK6</f>
        <v>-</v>
      </c>
      <c r="AP8" s="351" t="str">
        <f>Minták!AL6</f>
        <v>-</v>
      </c>
      <c r="AQ8" s="351" t="str">
        <f>Minták!AM6</f>
        <v>-</v>
      </c>
      <c r="AR8" s="351" t="str">
        <f>Minták!AN6</f>
        <v>-</v>
      </c>
      <c r="AS8" s="351" t="str">
        <f>Minták!AO6</f>
        <v>-</v>
      </c>
      <c r="AT8" s="351" t="str">
        <f>Minták!AP6</f>
        <v>-</v>
      </c>
      <c r="AU8" s="351" t="str">
        <f>Minták!AQ6</f>
        <v>-</v>
      </c>
      <c r="AV8" s="351" t="str">
        <f>Minták!AR6</f>
        <v>-</v>
      </c>
      <c r="AW8" s="351" t="str">
        <f>Minták!AS6</f>
        <v>-</v>
      </c>
      <c r="AX8" s="352" t="str">
        <f>Minták!AT6</f>
        <v>-</v>
      </c>
      <c r="BA8" s="334" t="s">
        <v>21</v>
      </c>
      <c r="BB8" s="351" t="e">
        <f t="shared" si="0"/>
        <v>#N/A</v>
      </c>
      <c r="BC8" s="354"/>
      <c r="BD8" s="354"/>
      <c r="BG8" s="569" t="s">
        <v>745</v>
      </c>
      <c r="BH8" s="570"/>
      <c r="BI8" s="570"/>
      <c r="BJ8" s="570"/>
      <c r="BK8" s="570"/>
      <c r="BL8" s="570"/>
      <c r="BM8" s="590" t="e">
        <f>BB8</f>
        <v>#N/A</v>
      </c>
      <c r="BN8" s="590"/>
      <c r="BO8" s="590"/>
      <c r="BP8" s="590"/>
      <c r="BQ8" s="590"/>
      <c r="BR8" s="590"/>
      <c r="BS8" s="590"/>
      <c r="BT8" s="590"/>
      <c r="BU8" s="590"/>
      <c r="BV8" s="590"/>
      <c r="BW8" s="590"/>
      <c r="BX8" s="590"/>
      <c r="BY8" s="590"/>
      <c r="BZ8" s="590"/>
      <c r="CA8" s="590"/>
      <c r="CB8" s="590"/>
      <c r="CC8" s="591"/>
    </row>
    <row r="9" spans="1:81" ht="15.6" customHeight="1" x14ac:dyDescent="0.25">
      <c r="A9" s="378" t="s">
        <v>44</v>
      </c>
      <c r="B9" s="344" t="str">
        <f>MV!A9</f>
        <v>ADATOT BEÍRNI</v>
      </c>
      <c r="C9" s="345" t="str">
        <f>MV!B9</f>
        <v>3/KIV</v>
      </c>
      <c r="D9" s="346">
        <f>MV!C9</f>
        <v>45294</v>
      </c>
      <c r="E9" s="345" t="str">
        <f>MV!D9</f>
        <v>-</v>
      </c>
      <c r="F9" s="345" t="str">
        <f>MV!E9</f>
        <v>-</v>
      </c>
      <c r="G9" s="345" t="str">
        <f>MV!F9</f>
        <v>-</v>
      </c>
      <c r="H9" s="345" t="str">
        <f>MV!G9</f>
        <v>-</v>
      </c>
      <c r="I9" s="345" t="str">
        <f>MV!H9</f>
        <v>-</v>
      </c>
      <c r="J9" s="345" t="str">
        <f>MV!I9</f>
        <v>-</v>
      </c>
      <c r="K9" s="345" t="str">
        <f>MV!J9</f>
        <v>-</v>
      </c>
      <c r="L9" s="345" t="str">
        <f>MV!K9</f>
        <v>-</v>
      </c>
      <c r="M9" s="346">
        <f>MV!L9</f>
        <v>45294</v>
      </c>
      <c r="N9" s="347" t="str">
        <f>MV!M9</f>
        <v>-</v>
      </c>
      <c r="O9" s="347" t="str">
        <f>MV!N9</f>
        <v>-</v>
      </c>
      <c r="P9" s="347" t="str">
        <f>MV!O9</f>
        <v>-</v>
      </c>
      <c r="Q9" s="345">
        <f>MV!P9</f>
        <v>1.2000000000000002</v>
      </c>
      <c r="R9" s="345">
        <f>MV!Q9</f>
        <v>10.199999999999999</v>
      </c>
      <c r="S9" s="345" t="str">
        <f>MV!R9</f>
        <v>-</v>
      </c>
      <c r="T9" s="345" t="str">
        <f>MV!S9</f>
        <v>-</v>
      </c>
      <c r="U9" s="345" t="str">
        <f>MV!T9</f>
        <v>-</v>
      </c>
      <c r="V9" s="345" t="str">
        <f>MV!U9</f>
        <v>-</v>
      </c>
      <c r="W9" s="345" t="str">
        <f>MV!V9</f>
        <v>-</v>
      </c>
      <c r="X9" s="345" t="str">
        <f>MV!W9</f>
        <v>-</v>
      </c>
      <c r="Y9" s="348" t="str">
        <f>MV!X9</f>
        <v>na</v>
      </c>
      <c r="Z9" s="349" t="str">
        <f>Minták!F7</f>
        <v>ADATOT BEÍRNI</v>
      </c>
      <c r="AA9" s="346" t="str">
        <f>Minták!C7</f>
        <v>KIV</v>
      </c>
      <c r="AB9" s="350" t="str">
        <f>Minták!X7</f>
        <v>A+B1_saját</v>
      </c>
      <c r="AC9" s="351" t="str">
        <f>Minták!Y7</f>
        <v>x</v>
      </c>
      <c r="AD9" s="351" t="str">
        <f>Minták!Z7</f>
        <v>x</v>
      </c>
      <c r="AE9" s="351" t="str">
        <f>Minták!AA7</f>
        <v>x</v>
      </c>
      <c r="AF9" s="351" t="str">
        <f>Minták!AB7</f>
        <v>x</v>
      </c>
      <c r="AG9" s="351" t="str">
        <f>Minták!AC7</f>
        <v>x</v>
      </c>
      <c r="AH9" s="351" t="str">
        <f>Minták!AD7</f>
        <v>x</v>
      </c>
      <c r="AI9" s="351" t="str">
        <f>Minták!AE7</f>
        <v>x</v>
      </c>
      <c r="AJ9" s="351" t="str">
        <f>Minták!AF7</f>
        <v>x</v>
      </c>
      <c r="AK9" s="351" t="str">
        <f>Minták!AG7</f>
        <v>x</v>
      </c>
      <c r="AL9" s="351" t="str">
        <f>Minták!AH7</f>
        <v>-</v>
      </c>
      <c r="AM9" s="351" t="str">
        <f>Minták!AI7</f>
        <v>x</v>
      </c>
      <c r="AN9" s="351" t="str">
        <f>Minták!AJ7</f>
        <v>-</v>
      </c>
      <c r="AO9" s="351" t="str">
        <f>Minták!AK7</f>
        <v>-</v>
      </c>
      <c r="AP9" s="351" t="str">
        <f>Minták!AL7</f>
        <v>-</v>
      </c>
      <c r="AQ9" s="351" t="str">
        <f>Minták!AM7</f>
        <v>-</v>
      </c>
      <c r="AR9" s="351" t="str">
        <f>Minták!AN7</f>
        <v>-</v>
      </c>
      <c r="AS9" s="351" t="str">
        <f>Minták!AO7</f>
        <v>-</v>
      </c>
      <c r="AT9" s="351" t="str">
        <f>Minták!AP7</f>
        <v>-</v>
      </c>
      <c r="AU9" s="351" t="str">
        <f>Minták!AQ7</f>
        <v>x</v>
      </c>
      <c r="AV9" s="351" t="str">
        <f>Minták!AR7</f>
        <v>x</v>
      </c>
      <c r="AW9" s="351" t="str">
        <f>Minták!AS7</f>
        <v>x</v>
      </c>
      <c r="AX9" s="352" t="str">
        <f>Minták!AT7</f>
        <v>-</v>
      </c>
      <c r="BA9" s="334" t="s">
        <v>311</v>
      </c>
      <c r="BB9" s="334" t="e">
        <f t="shared" si="0"/>
        <v>#N/A</v>
      </c>
      <c r="BC9" s="354" t="e">
        <f>IF(BB9="IV","ivóvíz",IF(BB9="KIV","ivóvíz","HIBA"))</f>
        <v>#N/A</v>
      </c>
      <c r="BD9" s="354"/>
      <c r="BG9" s="571" t="s">
        <v>746</v>
      </c>
      <c r="BH9" s="572"/>
      <c r="BI9" s="572"/>
      <c r="BJ9" s="572"/>
      <c r="BK9" s="572"/>
      <c r="BL9" s="572"/>
      <c r="BM9" s="592" t="e">
        <f>BC9</f>
        <v>#N/A</v>
      </c>
      <c r="BN9" s="592"/>
      <c r="BO9" s="592"/>
      <c r="BP9" s="592"/>
      <c r="BQ9" s="592"/>
      <c r="BR9" s="592"/>
      <c r="BS9" s="592"/>
      <c r="BT9" s="592"/>
      <c r="BU9" s="592"/>
      <c r="BV9" s="592"/>
      <c r="BW9" s="592"/>
      <c r="BX9" s="592"/>
      <c r="BY9" s="592"/>
      <c r="BZ9" s="592"/>
      <c r="CA9" s="592"/>
      <c r="CB9" s="592"/>
      <c r="CC9" s="593"/>
    </row>
    <row r="10" spans="1:81" ht="15.6" customHeight="1" x14ac:dyDescent="0.25">
      <c r="A10" s="378" t="s">
        <v>44</v>
      </c>
      <c r="B10" s="344" t="str">
        <f>MV!A10</f>
        <v>9605 Lcwvcl Ebnxscqc</v>
      </c>
      <c r="C10" s="345" t="str">
        <f>MV!B10</f>
        <v>4/IV</v>
      </c>
      <c r="D10" s="346">
        <f>MV!C10</f>
        <v>45295</v>
      </c>
      <c r="E10" s="345" t="str">
        <f>MV!D10</f>
        <v>-</v>
      </c>
      <c r="F10" s="345" t="str">
        <f>MV!E10</f>
        <v>-</v>
      </c>
      <c r="G10" s="345" t="str">
        <f>MV!F10</f>
        <v>-</v>
      </c>
      <c r="H10" s="345" t="str">
        <f>MV!G10</f>
        <v>-</v>
      </c>
      <c r="I10" s="345" t="str">
        <f>MV!H10</f>
        <v>-</v>
      </c>
      <c r="J10" s="345" t="str">
        <f>MV!I10</f>
        <v>-</v>
      </c>
      <c r="K10" s="345" t="str">
        <f>MV!J10</f>
        <v>-</v>
      </c>
      <c r="L10" s="345" t="str">
        <f>MV!K10</f>
        <v>-</v>
      </c>
      <c r="M10" s="346">
        <f>MV!L10</f>
        <v>45295</v>
      </c>
      <c r="N10" s="347" t="str">
        <f>MV!M10</f>
        <v>-</v>
      </c>
      <c r="O10" s="347" t="str">
        <f>MV!N10</f>
        <v>-</v>
      </c>
      <c r="P10" s="347" t="str">
        <f>MV!O10</f>
        <v>-</v>
      </c>
      <c r="Q10" s="345">
        <f>MV!P10</f>
        <v>1.3000000000000003</v>
      </c>
      <c r="R10" s="345">
        <f>MV!Q10</f>
        <v>10.299999999999999</v>
      </c>
      <c r="S10" s="345" t="str">
        <f>MV!R10</f>
        <v>-</v>
      </c>
      <c r="T10" s="345" t="str">
        <f>MV!S10</f>
        <v>-</v>
      </c>
      <c r="U10" s="345" t="str">
        <f>MV!T10</f>
        <v>-</v>
      </c>
      <c r="V10" s="345" t="str">
        <f>MV!U10</f>
        <v>-</v>
      </c>
      <c r="W10" s="345" t="str">
        <f>MV!V10</f>
        <v>-</v>
      </c>
      <c r="X10" s="345" t="str">
        <f>MV!W10</f>
        <v>-</v>
      </c>
      <c r="Y10" s="348" t="str">
        <f>MV!X10</f>
        <v>igen</v>
      </c>
      <c r="Z10" s="349" t="str">
        <f>Minták!F8</f>
        <v>9605 Lcwvcl Ebnxscqc</v>
      </c>
      <c r="AA10" s="346" t="str">
        <f>Minták!C8</f>
        <v>IV</v>
      </c>
      <c r="AB10" s="350" t="str">
        <f>Minták!X8</f>
        <v>B2</v>
      </c>
      <c r="AC10" s="351" t="str">
        <f>Minták!Y8</f>
        <v>-</v>
      </c>
      <c r="AD10" s="351" t="str">
        <f>Minták!Z8</f>
        <v>-</v>
      </c>
      <c r="AE10" s="351" t="str">
        <f>Minták!AA8</f>
        <v>-</v>
      </c>
      <c r="AF10" s="351" t="str">
        <f>Minták!AB8</f>
        <v>-</v>
      </c>
      <c r="AG10" s="351" t="str">
        <f>Minták!AC8</f>
        <v>-</v>
      </c>
      <c r="AH10" s="351" t="str">
        <f>Minták!AD8</f>
        <v>-</v>
      </c>
      <c r="AI10" s="351" t="str">
        <f>Minták!AE8</f>
        <v>-</v>
      </c>
      <c r="AJ10" s="351" t="str">
        <f>Minták!AF8</f>
        <v>-</v>
      </c>
      <c r="AK10" s="351" t="str">
        <f>Minták!AG8</f>
        <v>-</v>
      </c>
      <c r="AL10" s="351" t="str">
        <f>Minták!AH8</f>
        <v>-</v>
      </c>
      <c r="AM10" s="351" t="str">
        <f>Minták!AI8</f>
        <v>-</v>
      </c>
      <c r="AN10" s="351" t="str">
        <f>Minták!AJ8</f>
        <v>x</v>
      </c>
      <c r="AO10" s="351" t="str">
        <f>Minták!AK8</f>
        <v>-</v>
      </c>
      <c r="AP10" s="351" t="str">
        <f>Minták!AL8</f>
        <v>-</v>
      </c>
      <c r="AQ10" s="351" t="str">
        <f>Minták!AM8</f>
        <v>x</v>
      </c>
      <c r="AR10" s="351" t="str">
        <f>Minták!AN8</f>
        <v>x</v>
      </c>
      <c r="AS10" s="351" t="str">
        <f>Minták!AO8</f>
        <v>x</v>
      </c>
      <c r="AT10" s="351" t="str">
        <f>Minták!AP8</f>
        <v>x</v>
      </c>
      <c r="AU10" s="351" t="str">
        <f>Minták!AQ8</f>
        <v>-</v>
      </c>
      <c r="AV10" s="351" t="str">
        <f>Minták!AR8</f>
        <v>-</v>
      </c>
      <c r="AW10" s="351" t="str">
        <f>Minták!AS8</f>
        <v>-</v>
      </c>
      <c r="AX10" s="352" t="str">
        <f>Minták!AT8</f>
        <v>-</v>
      </c>
      <c r="BA10" s="334" t="s">
        <v>743</v>
      </c>
      <c r="BB10" s="334" t="e">
        <f t="shared" si="0"/>
        <v>#N/A</v>
      </c>
      <c r="BC10" s="354" t="e">
        <f>IF(BB10="igen","akkreditált mintavétel",IF(BB10="nem","nem akkreditált mintavétel","HIBA"))</f>
        <v>#N/A</v>
      </c>
      <c r="BG10" s="573" t="s">
        <v>747</v>
      </c>
      <c r="BH10" s="574"/>
      <c r="BI10" s="574"/>
      <c r="BJ10" s="574"/>
      <c r="BK10" s="574"/>
      <c r="BL10" s="574"/>
      <c r="BM10" s="594" t="e">
        <f>BC10</f>
        <v>#N/A</v>
      </c>
      <c r="BN10" s="594"/>
      <c r="BO10" s="594"/>
      <c r="BP10" s="594"/>
      <c r="BQ10" s="594"/>
      <c r="BR10" s="594"/>
      <c r="BS10" s="594"/>
      <c r="BT10" s="594"/>
      <c r="BU10" s="594"/>
      <c r="BV10" s="594"/>
      <c r="BW10" s="594"/>
      <c r="BX10" s="594"/>
      <c r="BY10" s="594"/>
      <c r="BZ10" s="594"/>
      <c r="CA10" s="594"/>
      <c r="CB10" s="594"/>
      <c r="CC10" s="595"/>
    </row>
    <row r="11" spans="1:81" ht="15.6" customHeight="1" x14ac:dyDescent="0.25">
      <c r="A11" s="378" t="s">
        <v>44</v>
      </c>
      <c r="B11" s="344" t="str">
        <f>MV!A11</f>
        <v>3086 Aaompjnhr Ubqpva</v>
      </c>
      <c r="C11" s="345" t="str">
        <f>MV!B11</f>
        <v>5/IV</v>
      </c>
      <c r="D11" s="346">
        <f>MV!C11</f>
        <v>45296</v>
      </c>
      <c r="E11" s="345" t="str">
        <f>MV!D11</f>
        <v>-</v>
      </c>
      <c r="F11" s="345" t="str">
        <f>MV!E11</f>
        <v>-</v>
      </c>
      <c r="G11" s="345" t="str">
        <f>MV!F11</f>
        <v>-</v>
      </c>
      <c r="H11" s="345" t="str">
        <f>MV!G11</f>
        <v>-</v>
      </c>
      <c r="I11" s="345" t="str">
        <f>MV!H11</f>
        <v>-</v>
      </c>
      <c r="J11" s="345" t="str">
        <f>MV!I11</f>
        <v>-</v>
      </c>
      <c r="K11" s="345" t="str">
        <f>MV!J11</f>
        <v>-</v>
      </c>
      <c r="L11" s="345" t="str">
        <f>MV!K11</f>
        <v>-</v>
      </c>
      <c r="M11" s="346">
        <f>MV!L11</f>
        <v>45296</v>
      </c>
      <c r="N11" s="347" t="str">
        <f>MV!M11</f>
        <v>-</v>
      </c>
      <c r="O11" s="347" t="str">
        <f>MV!N11</f>
        <v>-</v>
      </c>
      <c r="P11" s="347" t="str">
        <f>MV!O11</f>
        <v>-</v>
      </c>
      <c r="Q11" s="345">
        <f>MV!P11</f>
        <v>1.4000000000000004</v>
      </c>
      <c r="R11" s="345">
        <f>MV!Q11</f>
        <v>10.399999999999999</v>
      </c>
      <c r="S11" s="345" t="str">
        <f>MV!R11</f>
        <v>-</v>
      </c>
      <c r="T11" s="345" t="str">
        <f>MV!S11</f>
        <v>-</v>
      </c>
      <c r="U11" s="345" t="str">
        <f>MV!T11</f>
        <v>-</v>
      </c>
      <c r="V11" s="345" t="str">
        <f>MV!U11</f>
        <v>-</v>
      </c>
      <c r="W11" s="345" t="str">
        <f>MV!V11</f>
        <v>-</v>
      </c>
      <c r="X11" s="345" t="str">
        <f>MV!W11</f>
        <v>-</v>
      </c>
      <c r="Y11" s="348" t="str">
        <f>MV!X11</f>
        <v>nem</v>
      </c>
      <c r="Z11" s="349" t="str">
        <f>Minták!F9</f>
        <v>3086 Aaompjnhr Ubqpva</v>
      </c>
      <c r="AA11" s="346" t="str">
        <f>Minták!C9</f>
        <v>IV</v>
      </c>
      <c r="AB11" s="350" t="str">
        <f>Minták!X9</f>
        <v>Teljes</v>
      </c>
      <c r="AC11" s="351" t="str">
        <f>Minták!Y9</f>
        <v>x</v>
      </c>
      <c r="AD11" s="351" t="str">
        <f>Minták!Z9</f>
        <v>x</v>
      </c>
      <c r="AE11" s="351" t="str">
        <f>Minták!AA9</f>
        <v>x</v>
      </c>
      <c r="AF11" s="351" t="str">
        <f>Minták!AB9</f>
        <v>x</v>
      </c>
      <c r="AG11" s="351" t="str">
        <f>Minták!AC9</f>
        <v>x</v>
      </c>
      <c r="AH11" s="351" t="str">
        <f>Minták!AD9</f>
        <v>x</v>
      </c>
      <c r="AI11" s="351" t="str">
        <f>Minták!AE9</f>
        <v>x</v>
      </c>
      <c r="AJ11" s="351" t="str">
        <f>Minták!AF9</f>
        <v>x</v>
      </c>
      <c r="AK11" s="351" t="str">
        <f>Minták!AG9</f>
        <v>-</v>
      </c>
      <c r="AL11" s="351" t="str">
        <f>Minták!AH9</f>
        <v>-</v>
      </c>
      <c r="AM11" s="351" t="str">
        <f>Minták!AI9</f>
        <v>x</v>
      </c>
      <c r="AN11" s="351" t="str">
        <f>Minták!AJ9</f>
        <v>x</v>
      </c>
      <c r="AO11" s="351" t="str">
        <f>Minták!AK9</f>
        <v>x</v>
      </c>
      <c r="AP11" s="351" t="str">
        <f>Minták!AL9</f>
        <v>x</v>
      </c>
      <c r="AQ11" s="351" t="str">
        <f>Minták!AM9</f>
        <v>x</v>
      </c>
      <c r="AR11" s="351" t="str">
        <f>Minták!AN9</f>
        <v>x</v>
      </c>
      <c r="AS11" s="351" t="str">
        <f>Minták!AO9</f>
        <v>x</v>
      </c>
      <c r="AT11" s="351" t="str">
        <f>Minták!AP9</f>
        <v>x</v>
      </c>
      <c r="AU11" s="351" t="str">
        <f>Minták!AQ9</f>
        <v>-</v>
      </c>
      <c r="AV11" s="351" t="str">
        <f>Minták!AR9</f>
        <v>-</v>
      </c>
      <c r="AW11" s="351" t="str">
        <f>Minták!AS9</f>
        <v>-</v>
      </c>
      <c r="AX11" s="352" t="str">
        <f>Minták!AT9</f>
        <v>-</v>
      </c>
      <c r="BA11" s="334" t="s">
        <v>749</v>
      </c>
      <c r="BB11" s="334" t="e">
        <f t="shared" si="0"/>
        <v>#N/A</v>
      </c>
      <c r="BG11" s="586" t="s">
        <v>748</v>
      </c>
      <c r="BH11" s="587"/>
      <c r="BI11" s="587"/>
      <c r="BJ11" s="587"/>
      <c r="BK11" s="587"/>
      <c r="BL11" s="587"/>
      <c r="BM11" s="596" t="e">
        <f>BB11</f>
        <v>#N/A</v>
      </c>
      <c r="BN11" s="596"/>
      <c r="BO11" s="596"/>
      <c r="BP11" s="596"/>
      <c r="BQ11" s="596"/>
      <c r="BR11" s="596"/>
      <c r="BS11" s="596"/>
      <c r="BT11" s="596"/>
      <c r="BU11" s="596"/>
      <c r="BV11" s="596"/>
      <c r="BW11" s="596"/>
      <c r="BX11" s="596"/>
      <c r="BY11" s="596"/>
      <c r="BZ11" s="596"/>
      <c r="CA11" s="596"/>
      <c r="CB11" s="596"/>
      <c r="CC11" s="597"/>
    </row>
    <row r="12" spans="1:81" ht="15.6" customHeight="1" x14ac:dyDescent="0.25">
      <c r="A12" s="378" t="s">
        <v>44</v>
      </c>
      <c r="B12" s="344" t="str">
        <f>MV!A12</f>
        <v>7919 Jxbxjr Eouypz</v>
      </c>
      <c r="C12" s="345" t="str">
        <f>MV!B12</f>
        <v>6/IV</v>
      </c>
      <c r="D12" s="346">
        <f>MV!C12</f>
        <v>45297</v>
      </c>
      <c r="E12" s="345" t="str">
        <f>MV!D12</f>
        <v>-</v>
      </c>
      <c r="F12" s="345" t="str">
        <f>MV!E12</f>
        <v>-</v>
      </c>
      <c r="G12" s="345" t="str">
        <f>MV!F12</f>
        <v>-</v>
      </c>
      <c r="H12" s="345" t="str">
        <f>MV!G12</f>
        <v>-</v>
      </c>
      <c r="I12" s="345" t="str">
        <f>MV!H12</f>
        <v>-</v>
      </c>
      <c r="J12" s="345" t="str">
        <f>MV!I12</f>
        <v>-</v>
      </c>
      <c r="K12" s="345" t="str">
        <f>MV!J12</f>
        <v>-</v>
      </c>
      <c r="L12" s="345" t="str">
        <f>MV!K12</f>
        <v>-</v>
      </c>
      <c r="M12" s="346">
        <f>MV!L12</f>
        <v>45297</v>
      </c>
      <c r="N12" s="347" t="str">
        <f>MV!M12</f>
        <v>-</v>
      </c>
      <c r="O12" s="347" t="str">
        <f>MV!N12</f>
        <v>-</v>
      </c>
      <c r="P12" s="347" t="str">
        <f>MV!O12</f>
        <v>-</v>
      </c>
      <c r="Q12" s="345">
        <f>MV!P12</f>
        <v>1.5000000000000004</v>
      </c>
      <c r="R12" s="345">
        <f>MV!Q12</f>
        <v>10.499999999999998</v>
      </c>
      <c r="S12" s="345" t="str">
        <f>MV!R12</f>
        <v>-</v>
      </c>
      <c r="T12" s="345" t="str">
        <f>MV!S12</f>
        <v>-</v>
      </c>
      <c r="U12" s="345" t="str">
        <f>MV!T12</f>
        <v>-</v>
      </c>
      <c r="V12" s="345" t="str">
        <f>MV!U12</f>
        <v>-</v>
      </c>
      <c r="W12" s="345" t="str">
        <f>MV!V12</f>
        <v>-</v>
      </c>
      <c r="X12" s="345" t="str">
        <f>MV!W12</f>
        <v>-</v>
      </c>
      <c r="Y12" s="348" t="str">
        <f>MV!X12</f>
        <v>na</v>
      </c>
      <c r="Z12" s="349" t="str">
        <f>Minták!F10</f>
        <v>7919 Jxbxjr Eouypz</v>
      </c>
      <c r="AA12" s="346" t="str">
        <f>Minták!C10</f>
        <v>IV</v>
      </c>
      <c r="AB12" s="350" t="str">
        <f>Minták!X10</f>
        <v>-</v>
      </c>
      <c r="AC12" s="351" t="str">
        <f>Minták!Y10</f>
        <v>-</v>
      </c>
      <c r="AD12" s="351" t="str">
        <f>Minták!Z10</f>
        <v>-</v>
      </c>
      <c r="AE12" s="351" t="str">
        <f>Minták!AA10</f>
        <v>-</v>
      </c>
      <c r="AF12" s="351" t="str">
        <f>Minták!AB10</f>
        <v>-</v>
      </c>
      <c r="AG12" s="351" t="str">
        <f>Minták!AC10</f>
        <v>-</v>
      </c>
      <c r="AH12" s="351" t="str">
        <f>Minták!AD10</f>
        <v>-</v>
      </c>
      <c r="AI12" s="351" t="str">
        <f>Minták!AE10</f>
        <v>-</v>
      </c>
      <c r="AJ12" s="351" t="str">
        <f>Minták!AF10</f>
        <v>-</v>
      </c>
      <c r="AK12" s="351" t="str">
        <f>Minták!AG10</f>
        <v>-</v>
      </c>
      <c r="AL12" s="351" t="str">
        <f>Minták!AH10</f>
        <v>-</v>
      </c>
      <c r="AM12" s="351" t="str">
        <f>Minták!AI10</f>
        <v>-</v>
      </c>
      <c r="AN12" s="351" t="str">
        <f>Minták!AJ10</f>
        <v>-</v>
      </c>
      <c r="AO12" s="351" t="str">
        <f>Minták!AK10</f>
        <v>-</v>
      </c>
      <c r="AP12" s="351" t="str">
        <f>Minták!AL10</f>
        <v>-</v>
      </c>
      <c r="AQ12" s="351" t="str">
        <f>Minták!AM10</f>
        <v>-</v>
      </c>
      <c r="AR12" s="351" t="str">
        <f>Minták!AN10</f>
        <v>-</v>
      </c>
      <c r="AS12" s="351" t="str">
        <f>Minták!AO10</f>
        <v>-</v>
      </c>
      <c r="AT12" s="351" t="str">
        <f>Minták!AP10</f>
        <v>-</v>
      </c>
      <c r="AU12" s="351" t="str">
        <f>Minták!AQ10</f>
        <v>-</v>
      </c>
      <c r="AV12" s="351" t="str">
        <f>Minták!AR10</f>
        <v>-</v>
      </c>
      <c r="AW12" s="351" t="str">
        <f>Minták!AS10</f>
        <v>-</v>
      </c>
      <c r="AX12" s="352" t="str">
        <f>Minták!AT10</f>
        <v>-</v>
      </c>
      <c r="BA12" s="334" t="s">
        <v>750</v>
      </c>
      <c r="BB12" s="334" t="e">
        <f t="shared" si="0"/>
        <v>#N/A</v>
      </c>
      <c r="BG12" s="588"/>
      <c r="BH12" s="589"/>
      <c r="BI12" s="589"/>
      <c r="BJ12" s="589"/>
      <c r="BK12" s="589"/>
      <c r="BL12" s="589"/>
      <c r="BM12" s="598" t="e">
        <f>BB12</f>
        <v>#N/A</v>
      </c>
      <c r="BN12" s="598"/>
      <c r="BO12" s="598"/>
      <c r="BP12" s="598"/>
      <c r="BQ12" s="598"/>
      <c r="BR12" s="598"/>
      <c r="BS12" s="598"/>
      <c r="BT12" s="598"/>
      <c r="BU12" s="598"/>
      <c r="BV12" s="598"/>
      <c r="BW12" s="598"/>
      <c r="BX12" s="598"/>
      <c r="BY12" s="598"/>
      <c r="BZ12" s="598"/>
      <c r="CA12" s="598"/>
      <c r="CB12" s="598"/>
      <c r="CC12" s="599"/>
    </row>
    <row r="13" spans="1:81" ht="15.6" customHeight="1" x14ac:dyDescent="0.25">
      <c r="A13" s="378" t="s">
        <v>44</v>
      </c>
      <c r="B13" s="344" t="str">
        <f>MV!A13</f>
        <v>8270 Owijzsgzrpr Rkohqy</v>
      </c>
      <c r="C13" s="345" t="str">
        <f>MV!B13</f>
        <v>7/IV</v>
      </c>
      <c r="D13" s="346">
        <f>MV!C13</f>
        <v>45298</v>
      </c>
      <c r="E13" s="345" t="str">
        <f>MV!D13</f>
        <v>-</v>
      </c>
      <c r="F13" s="345" t="str">
        <f>MV!E13</f>
        <v>-</v>
      </c>
      <c r="G13" s="345" t="str">
        <f>MV!F13</f>
        <v>-</v>
      </c>
      <c r="H13" s="345" t="str">
        <f>MV!G13</f>
        <v>-</v>
      </c>
      <c r="I13" s="345" t="str">
        <f>MV!H13</f>
        <v>-</v>
      </c>
      <c r="J13" s="345" t="str">
        <f>MV!I13</f>
        <v>-</v>
      </c>
      <c r="K13" s="345" t="str">
        <f>MV!J13</f>
        <v>-</v>
      </c>
      <c r="L13" s="345" t="str">
        <f>MV!K13</f>
        <v>-</v>
      </c>
      <c r="M13" s="346">
        <f>MV!L13</f>
        <v>45298</v>
      </c>
      <c r="N13" s="347" t="str">
        <f>MV!M13</f>
        <v>-</v>
      </c>
      <c r="O13" s="347" t="str">
        <f>MV!N13</f>
        <v>-</v>
      </c>
      <c r="P13" s="347" t="str">
        <f>MV!O13</f>
        <v>-</v>
      </c>
      <c r="Q13" s="345">
        <f>MV!P13</f>
        <v>1.6000000000000005</v>
      </c>
      <c r="R13" s="345">
        <f>MV!Q13</f>
        <v>10.599999999999998</v>
      </c>
      <c r="S13" s="345" t="str">
        <f>MV!R13</f>
        <v>-</v>
      </c>
      <c r="T13" s="345" t="str">
        <f>MV!S13</f>
        <v>-</v>
      </c>
      <c r="U13" s="345" t="str">
        <f>MV!T13</f>
        <v>-</v>
      </c>
      <c r="V13" s="345" t="str">
        <f>MV!U13</f>
        <v>-</v>
      </c>
      <c r="W13" s="345" t="str">
        <f>MV!V13</f>
        <v>-</v>
      </c>
      <c r="X13" s="345" t="str">
        <f>MV!W13</f>
        <v>-</v>
      </c>
      <c r="Y13" s="348" t="str">
        <f>MV!X13</f>
        <v>igen</v>
      </c>
      <c r="Z13" s="349" t="str">
        <f>Minták!F11</f>
        <v>8270 Owijzsgzrpr Rkohqy</v>
      </c>
      <c r="AA13" s="346" t="str">
        <f>Minták!C11</f>
        <v>IV</v>
      </c>
      <c r="AB13" s="350" t="str">
        <f>Minták!X11</f>
        <v>-</v>
      </c>
      <c r="AC13" s="351" t="str">
        <f>Minták!Y11</f>
        <v>-</v>
      </c>
      <c r="AD13" s="351" t="str">
        <f>Minták!Z11</f>
        <v>-</v>
      </c>
      <c r="AE13" s="351" t="str">
        <f>Minták!AA11</f>
        <v>-</v>
      </c>
      <c r="AF13" s="351" t="str">
        <f>Minták!AB11</f>
        <v>-</v>
      </c>
      <c r="AG13" s="351" t="str">
        <f>Minták!AC11</f>
        <v>-</v>
      </c>
      <c r="AH13" s="351" t="str">
        <f>Minták!AD11</f>
        <v>-</v>
      </c>
      <c r="AI13" s="351" t="str">
        <f>Minták!AE11</f>
        <v>-</v>
      </c>
      <c r="AJ13" s="351" t="str">
        <f>Minták!AF11</f>
        <v>-</v>
      </c>
      <c r="AK13" s="351" t="str">
        <f>Minták!AG11</f>
        <v>-</v>
      </c>
      <c r="AL13" s="351" t="str">
        <f>Minták!AH11</f>
        <v>-</v>
      </c>
      <c r="AM13" s="351" t="str">
        <f>Minták!AI11</f>
        <v>-</v>
      </c>
      <c r="AN13" s="351" t="str">
        <f>Minták!AJ11</f>
        <v>-</v>
      </c>
      <c r="AO13" s="351" t="str">
        <f>Minták!AK11</f>
        <v>-</v>
      </c>
      <c r="AP13" s="351" t="str">
        <f>Minták!AL11</f>
        <v>-</v>
      </c>
      <c r="AQ13" s="351" t="str">
        <f>Minták!AM11</f>
        <v>-</v>
      </c>
      <c r="AR13" s="351" t="str">
        <f>Minták!AN11</f>
        <v>-</v>
      </c>
      <c r="AS13" s="351" t="str">
        <f>Minták!AO11</f>
        <v>-</v>
      </c>
      <c r="AT13" s="351" t="str">
        <f>Minták!AP11</f>
        <v>-</v>
      </c>
      <c r="AU13" s="351" t="str">
        <f>Minták!AQ11</f>
        <v>-</v>
      </c>
      <c r="AV13" s="351" t="str">
        <f>Minták!AR11</f>
        <v>-</v>
      </c>
      <c r="AW13" s="351" t="str">
        <f>Minták!AS11</f>
        <v>-</v>
      </c>
      <c r="AX13" s="352" t="str">
        <f>Minták!AT11</f>
        <v>-</v>
      </c>
      <c r="BA13" s="334" t="s">
        <v>127</v>
      </c>
      <c r="BB13" s="334" t="e">
        <f t="shared" si="0"/>
        <v>#N/A</v>
      </c>
      <c r="BG13" s="569" t="s">
        <v>751</v>
      </c>
      <c r="BH13" s="570"/>
      <c r="BI13" s="570"/>
      <c r="BJ13" s="570"/>
      <c r="BK13" s="570"/>
      <c r="BL13" s="570"/>
      <c r="BM13" s="570"/>
      <c r="BN13" s="570"/>
      <c r="BO13" s="570"/>
      <c r="BP13" s="570"/>
      <c r="BQ13" s="570"/>
      <c r="BR13" s="570"/>
      <c r="BS13" s="570"/>
      <c r="BT13" s="570"/>
      <c r="BU13" s="570"/>
      <c r="BV13" s="570"/>
      <c r="BW13" s="570"/>
      <c r="BX13" s="570"/>
      <c r="BY13" s="570"/>
      <c r="BZ13" s="570"/>
      <c r="CA13" s="570"/>
      <c r="CB13" s="570"/>
      <c r="CC13" s="578"/>
    </row>
    <row r="14" spans="1:81" ht="15.6" customHeight="1" thickBot="1" x14ac:dyDescent="0.3">
      <c r="A14" s="378" t="s">
        <v>44</v>
      </c>
      <c r="B14" s="344" t="str">
        <f>MV!A14</f>
        <v>2991 Jjdjhsp Vxhhmc</v>
      </c>
      <c r="C14" s="345" t="str">
        <f>MV!B14</f>
        <v>8/IV</v>
      </c>
      <c r="D14" s="346">
        <f>MV!C14</f>
        <v>45299</v>
      </c>
      <c r="E14" s="345" t="str">
        <f>MV!D14</f>
        <v>-</v>
      </c>
      <c r="F14" s="345" t="str">
        <f>MV!E14</f>
        <v>-</v>
      </c>
      <c r="G14" s="345" t="str">
        <f>MV!F14</f>
        <v>-</v>
      </c>
      <c r="H14" s="345" t="str">
        <f>MV!G14</f>
        <v>-</v>
      </c>
      <c r="I14" s="345" t="str">
        <f>MV!H14</f>
        <v>-</v>
      </c>
      <c r="J14" s="345" t="str">
        <f>MV!I14</f>
        <v>-</v>
      </c>
      <c r="K14" s="345" t="str">
        <f>MV!J14</f>
        <v>-</v>
      </c>
      <c r="L14" s="345" t="str">
        <f>MV!K14</f>
        <v>-</v>
      </c>
      <c r="M14" s="346">
        <f>MV!L14</f>
        <v>45299</v>
      </c>
      <c r="N14" s="347" t="str">
        <f>MV!M14</f>
        <v>-</v>
      </c>
      <c r="O14" s="347" t="str">
        <f>MV!N14</f>
        <v>-</v>
      </c>
      <c r="P14" s="347" t="str">
        <f>MV!O14</f>
        <v>-</v>
      </c>
      <c r="Q14" s="345">
        <f>MV!P14</f>
        <v>1.7000000000000006</v>
      </c>
      <c r="R14" s="345">
        <f>MV!Q14</f>
        <v>10.699999999999998</v>
      </c>
      <c r="S14" s="345" t="str">
        <f>MV!R14</f>
        <v>-</v>
      </c>
      <c r="T14" s="345" t="str">
        <f>MV!S14</f>
        <v>-</v>
      </c>
      <c r="U14" s="345" t="str">
        <f>MV!T14</f>
        <v>-</v>
      </c>
      <c r="V14" s="345" t="str">
        <f>MV!U14</f>
        <v>-</v>
      </c>
      <c r="W14" s="345" t="str">
        <f>MV!V14</f>
        <v>-</v>
      </c>
      <c r="X14" s="345" t="str">
        <f>MV!W14</f>
        <v>-</v>
      </c>
      <c r="Y14" s="348" t="str">
        <f>MV!X14</f>
        <v>nem</v>
      </c>
      <c r="Z14" s="349" t="str">
        <f>Minták!F12</f>
        <v>2991 Jjdjhsp Vxhhmc</v>
      </c>
      <c r="AA14" s="346" t="str">
        <f>Minták!C12</f>
        <v>IV</v>
      </c>
      <c r="AB14" s="350" t="str">
        <f>Minták!X12</f>
        <v>-</v>
      </c>
      <c r="AC14" s="351" t="str">
        <f>Minták!Y12</f>
        <v>-</v>
      </c>
      <c r="AD14" s="351" t="str">
        <f>Minták!Z12</f>
        <v>-</v>
      </c>
      <c r="AE14" s="351" t="str">
        <f>Minták!AA12</f>
        <v>-</v>
      </c>
      <c r="AF14" s="351" t="str">
        <f>Minták!AB12</f>
        <v>-</v>
      </c>
      <c r="AG14" s="351" t="str">
        <f>Minták!AC12</f>
        <v>-</v>
      </c>
      <c r="AH14" s="351" t="str">
        <f>Minták!AD12</f>
        <v>-</v>
      </c>
      <c r="AI14" s="351" t="str">
        <f>Minták!AE12</f>
        <v>-</v>
      </c>
      <c r="AJ14" s="351" t="str">
        <f>Minták!AF12</f>
        <v>-</v>
      </c>
      <c r="AK14" s="351" t="str">
        <f>Minták!AG12</f>
        <v>-</v>
      </c>
      <c r="AL14" s="351" t="str">
        <f>Minták!AH12</f>
        <v>-</v>
      </c>
      <c r="AM14" s="351" t="str">
        <f>Minták!AI12</f>
        <v>-</v>
      </c>
      <c r="AN14" s="351" t="str">
        <f>Minták!AJ12</f>
        <v>-</v>
      </c>
      <c r="AO14" s="351" t="str">
        <f>Minták!AK12</f>
        <v>-</v>
      </c>
      <c r="AP14" s="351" t="str">
        <f>Minták!AL12</f>
        <v>-</v>
      </c>
      <c r="AQ14" s="351" t="str">
        <f>Minták!AM12</f>
        <v>-</v>
      </c>
      <c r="AR14" s="351" t="str">
        <f>Minták!AN12</f>
        <v>-</v>
      </c>
      <c r="AS14" s="351" t="str">
        <f>Minták!AO12</f>
        <v>-</v>
      </c>
      <c r="AT14" s="351" t="str">
        <f>Minták!AP12</f>
        <v>-</v>
      </c>
      <c r="AU14" s="351" t="str">
        <f>Minták!AQ12</f>
        <v>-</v>
      </c>
      <c r="AV14" s="351" t="str">
        <f>Minták!AR12</f>
        <v>-</v>
      </c>
      <c r="AW14" s="351" t="str">
        <f>Minták!AS12</f>
        <v>-</v>
      </c>
      <c r="AX14" s="352" t="str">
        <f>Minták!AT12</f>
        <v>-</v>
      </c>
      <c r="BA14" s="334" t="s">
        <v>367</v>
      </c>
      <c r="BB14" s="334" t="e">
        <f t="shared" si="0"/>
        <v>#N/A</v>
      </c>
      <c r="BG14" s="575" t="e">
        <f>BB13</f>
        <v>#N/A</v>
      </c>
      <c r="BH14" s="576"/>
      <c r="BI14" s="576"/>
      <c r="BJ14" s="576"/>
      <c r="BK14" s="576"/>
      <c r="BL14" s="576"/>
      <c r="BM14" s="576"/>
      <c r="BN14" s="576"/>
      <c r="BO14" s="576"/>
      <c r="BP14" s="576"/>
      <c r="BQ14" s="576"/>
      <c r="BR14" s="576"/>
      <c r="BS14" s="576"/>
      <c r="BT14" s="576"/>
      <c r="BU14" s="576"/>
      <c r="BV14" s="576"/>
      <c r="BW14" s="576"/>
      <c r="BX14" s="576"/>
      <c r="BY14" s="576"/>
      <c r="BZ14" s="576"/>
      <c r="CA14" s="576"/>
      <c r="CB14" s="576"/>
      <c r="CC14" s="577"/>
    </row>
    <row r="15" spans="1:81" ht="15.6" customHeight="1" x14ac:dyDescent="0.25">
      <c r="A15" s="378" t="s">
        <v>44</v>
      </c>
      <c r="B15" s="344" t="str">
        <f>MV!A15</f>
        <v>8018 Mankscvx Msdxtl</v>
      </c>
      <c r="C15" s="345" t="str">
        <f>MV!B15</f>
        <v>9/IV</v>
      </c>
      <c r="D15" s="346">
        <f>MV!C15</f>
        <v>45300</v>
      </c>
      <c r="E15" s="345" t="str">
        <f>MV!D15</f>
        <v>-</v>
      </c>
      <c r="F15" s="345" t="str">
        <f>MV!E15</f>
        <v>-</v>
      </c>
      <c r="G15" s="345" t="str">
        <f>MV!F15</f>
        <v>-</v>
      </c>
      <c r="H15" s="345" t="str">
        <f>MV!G15</f>
        <v>-</v>
      </c>
      <c r="I15" s="345" t="str">
        <f>MV!H15</f>
        <v>-</v>
      </c>
      <c r="J15" s="345" t="str">
        <f>MV!I15</f>
        <v>-</v>
      </c>
      <c r="K15" s="345" t="str">
        <f>MV!J15</f>
        <v>-</v>
      </c>
      <c r="L15" s="345" t="str">
        <f>MV!K15</f>
        <v>-</v>
      </c>
      <c r="M15" s="346">
        <f>MV!L15</f>
        <v>45300</v>
      </c>
      <c r="N15" s="347" t="str">
        <f>MV!M15</f>
        <v>-</v>
      </c>
      <c r="O15" s="347" t="str">
        <f>MV!N15</f>
        <v>-</v>
      </c>
      <c r="P15" s="347" t="str">
        <f>MV!O15</f>
        <v>-</v>
      </c>
      <c r="Q15" s="345">
        <f>MV!P15</f>
        <v>1.8000000000000007</v>
      </c>
      <c r="R15" s="345">
        <f>MV!Q15</f>
        <v>10.799999999999997</v>
      </c>
      <c r="S15" s="345" t="str">
        <f>MV!R15</f>
        <v>-</v>
      </c>
      <c r="T15" s="345" t="str">
        <f>MV!S15</f>
        <v>-</v>
      </c>
      <c r="U15" s="345" t="str">
        <f>MV!T15</f>
        <v>-</v>
      </c>
      <c r="V15" s="345" t="str">
        <f>MV!U15</f>
        <v>-</v>
      </c>
      <c r="W15" s="345" t="str">
        <f>MV!V15</f>
        <v>-</v>
      </c>
      <c r="X15" s="345" t="str">
        <f>MV!W15</f>
        <v>-</v>
      </c>
      <c r="Y15" s="348" t="str">
        <f>MV!X15</f>
        <v>na</v>
      </c>
      <c r="Z15" s="349" t="str">
        <f>Minták!F13</f>
        <v>8018 Mankscvx Msdxtl</v>
      </c>
      <c r="AA15" s="346" t="str">
        <f>Minták!C13</f>
        <v>IV</v>
      </c>
      <c r="AB15" s="350" t="str">
        <f>Minták!X13</f>
        <v>-</v>
      </c>
      <c r="AC15" s="351" t="str">
        <f>Minták!Y13</f>
        <v>-</v>
      </c>
      <c r="AD15" s="351" t="str">
        <f>Minták!Z13</f>
        <v>-</v>
      </c>
      <c r="AE15" s="351" t="str">
        <f>Minták!AA13</f>
        <v>-</v>
      </c>
      <c r="AF15" s="351" t="str">
        <f>Minták!AB13</f>
        <v>-</v>
      </c>
      <c r="AG15" s="351" t="str">
        <f>Minták!AC13</f>
        <v>-</v>
      </c>
      <c r="AH15" s="351" t="str">
        <f>Minták!AD13</f>
        <v>-</v>
      </c>
      <c r="AI15" s="351" t="str">
        <f>Minták!AE13</f>
        <v>-</v>
      </c>
      <c r="AJ15" s="351" t="str">
        <f>Minták!AF13</f>
        <v>-</v>
      </c>
      <c r="AK15" s="351" t="str">
        <f>Minták!AG13</f>
        <v>-</v>
      </c>
      <c r="AL15" s="351" t="str">
        <f>Minták!AH13</f>
        <v>-</v>
      </c>
      <c r="AM15" s="351" t="str">
        <f>Minták!AI13</f>
        <v>-</v>
      </c>
      <c r="AN15" s="351" t="str">
        <f>Minták!AJ13</f>
        <v>-</v>
      </c>
      <c r="AO15" s="351" t="str">
        <f>Minták!AK13</f>
        <v>-</v>
      </c>
      <c r="AP15" s="351" t="str">
        <f>Minták!AL13</f>
        <v>-</v>
      </c>
      <c r="AQ15" s="351" t="str">
        <f>Minták!AM13</f>
        <v>-</v>
      </c>
      <c r="AR15" s="351" t="str">
        <f>Minták!AN13</f>
        <v>-</v>
      </c>
      <c r="AS15" s="351" t="str">
        <f>Minták!AO13</f>
        <v>-</v>
      </c>
      <c r="AT15" s="351" t="str">
        <f>Minták!AP13</f>
        <v>-</v>
      </c>
      <c r="AU15" s="351" t="str">
        <f>Minták!AQ13</f>
        <v>-</v>
      </c>
      <c r="AV15" s="351" t="str">
        <f>Minták!AR13</f>
        <v>-</v>
      </c>
      <c r="AW15" s="351" t="str">
        <f>Minták!AS13</f>
        <v>-</v>
      </c>
      <c r="AX15" s="352" t="str">
        <f>Minták!AT13</f>
        <v>-</v>
      </c>
      <c r="BA15" s="334" t="s">
        <v>731</v>
      </c>
      <c r="BB15" s="334" t="e">
        <f t="shared" si="0"/>
        <v>#N/A</v>
      </c>
      <c r="BG15" s="579" t="s">
        <v>752</v>
      </c>
      <c r="BH15" s="580"/>
      <c r="BI15" s="580"/>
      <c r="BJ15" s="580"/>
      <c r="BK15" s="580"/>
      <c r="BL15" s="580"/>
      <c r="BM15" s="580"/>
      <c r="BN15" s="580"/>
      <c r="BO15" s="580"/>
      <c r="BP15" s="580"/>
      <c r="BQ15" s="580"/>
      <c r="BR15" s="580"/>
      <c r="BS15" s="580"/>
      <c r="BT15" s="580"/>
      <c r="BU15" s="580"/>
      <c r="BV15" s="580"/>
      <c r="BW15" s="580"/>
      <c r="BX15" s="580"/>
      <c r="BY15" s="580"/>
      <c r="BZ15" s="580"/>
      <c r="CA15" s="580"/>
      <c r="CB15" s="580"/>
      <c r="CC15" s="581"/>
    </row>
    <row r="16" spans="1:81" ht="15.6" customHeight="1" x14ac:dyDescent="0.25">
      <c r="A16" s="378" t="s">
        <v>44</v>
      </c>
      <c r="B16" s="344" t="str">
        <f>MV!A16</f>
        <v>7065 Hwcflmoijro Qoldnt</v>
      </c>
      <c r="C16" s="345" t="str">
        <f>MV!B16</f>
        <v>10/IV</v>
      </c>
      <c r="D16" s="346">
        <f>MV!C16</f>
        <v>45301</v>
      </c>
      <c r="E16" s="345" t="str">
        <f>MV!D16</f>
        <v>-</v>
      </c>
      <c r="F16" s="345" t="str">
        <f>MV!E16</f>
        <v>-</v>
      </c>
      <c r="G16" s="345" t="str">
        <f>MV!F16</f>
        <v>-</v>
      </c>
      <c r="H16" s="345" t="str">
        <f>MV!G16</f>
        <v>-</v>
      </c>
      <c r="I16" s="345" t="str">
        <f>MV!H16</f>
        <v>-</v>
      </c>
      <c r="J16" s="345" t="str">
        <f>MV!I16</f>
        <v>-</v>
      </c>
      <c r="K16" s="345" t="str">
        <f>MV!J16</f>
        <v>-</v>
      </c>
      <c r="L16" s="345" t="str">
        <f>MV!K16</f>
        <v>-</v>
      </c>
      <c r="M16" s="346">
        <f>MV!L16</f>
        <v>45301</v>
      </c>
      <c r="N16" s="347" t="str">
        <f>MV!M16</f>
        <v>-</v>
      </c>
      <c r="O16" s="347" t="str">
        <f>MV!N16</f>
        <v>-</v>
      </c>
      <c r="P16" s="347" t="str">
        <f>MV!O16</f>
        <v>-</v>
      </c>
      <c r="Q16" s="345">
        <f>MV!P16</f>
        <v>1.9000000000000008</v>
      </c>
      <c r="R16" s="345">
        <f>MV!Q16</f>
        <v>10.899999999999997</v>
      </c>
      <c r="S16" s="345" t="str">
        <f>MV!R16</f>
        <v>-</v>
      </c>
      <c r="T16" s="345" t="str">
        <f>MV!S16</f>
        <v>-</v>
      </c>
      <c r="U16" s="345" t="str">
        <f>MV!T16</f>
        <v>-</v>
      </c>
      <c r="V16" s="345" t="str">
        <f>MV!U16</f>
        <v>-</v>
      </c>
      <c r="W16" s="345" t="str">
        <f>MV!V16</f>
        <v>-</v>
      </c>
      <c r="X16" s="345" t="str">
        <f>MV!W16</f>
        <v>-</v>
      </c>
      <c r="Y16" s="348" t="str">
        <f>MV!X16</f>
        <v>igen</v>
      </c>
      <c r="Z16" s="349" t="str">
        <f>Minták!F14</f>
        <v>7065 Hwcflmoijro Qoldnt</v>
      </c>
      <c r="AA16" s="346" t="str">
        <f>Minták!C14</f>
        <v>IV</v>
      </c>
      <c r="AB16" s="350" t="str">
        <f>Minták!X14</f>
        <v>-</v>
      </c>
      <c r="AC16" s="351" t="str">
        <f>Minták!Y14</f>
        <v>-</v>
      </c>
      <c r="AD16" s="351" t="str">
        <f>Minták!Z14</f>
        <v>-</v>
      </c>
      <c r="AE16" s="351" t="str">
        <f>Minták!AA14</f>
        <v>-</v>
      </c>
      <c r="AF16" s="351" t="str">
        <f>Minták!AB14</f>
        <v>-</v>
      </c>
      <c r="AG16" s="351" t="str">
        <f>Minták!AC14</f>
        <v>-</v>
      </c>
      <c r="AH16" s="351" t="str">
        <f>Minták!AD14</f>
        <v>-</v>
      </c>
      <c r="AI16" s="351" t="str">
        <f>Minták!AE14</f>
        <v>-</v>
      </c>
      <c r="AJ16" s="351" t="str">
        <f>Minták!AF14</f>
        <v>-</v>
      </c>
      <c r="AK16" s="351" t="str">
        <f>Minták!AG14</f>
        <v>-</v>
      </c>
      <c r="AL16" s="351" t="str">
        <f>Minták!AH14</f>
        <v>-</v>
      </c>
      <c r="AM16" s="351" t="str">
        <f>Minták!AI14</f>
        <v>-</v>
      </c>
      <c r="AN16" s="351" t="str">
        <f>Minták!AJ14</f>
        <v>-</v>
      </c>
      <c r="AO16" s="351" t="str">
        <f>Minták!AK14</f>
        <v>-</v>
      </c>
      <c r="AP16" s="351" t="str">
        <f>Minták!AL14</f>
        <v>-</v>
      </c>
      <c r="AQ16" s="351" t="str">
        <f>Minták!AM14</f>
        <v>-</v>
      </c>
      <c r="AR16" s="351" t="str">
        <f>Minták!AN14</f>
        <v>-</v>
      </c>
      <c r="AS16" s="351" t="str">
        <f>Minták!AO14</f>
        <v>-</v>
      </c>
      <c r="AT16" s="351" t="str">
        <f>Minták!AP14</f>
        <v>-</v>
      </c>
      <c r="AU16" s="351" t="str">
        <f>Minták!AQ14</f>
        <v>-</v>
      </c>
      <c r="AV16" s="351" t="str">
        <f>Minták!AR14</f>
        <v>-</v>
      </c>
      <c r="AW16" s="351" t="str">
        <f>Minták!AS14</f>
        <v>-</v>
      </c>
      <c r="AX16" s="352" t="str">
        <f>Minták!AT14</f>
        <v>-</v>
      </c>
      <c r="BA16" s="334" t="s">
        <v>732</v>
      </c>
      <c r="BB16" s="334" t="e">
        <f t="shared" si="0"/>
        <v>#N/A</v>
      </c>
      <c r="BG16" s="582" t="s">
        <v>753</v>
      </c>
      <c r="BH16" s="583"/>
      <c r="BI16" s="583"/>
      <c r="BJ16" s="583"/>
      <c r="BK16" s="583"/>
      <c r="BL16" s="583"/>
      <c r="BM16" s="584" t="str">
        <f>BB3</f>
        <v>MSZ 448-46:1988</v>
      </c>
      <c r="BN16" s="584"/>
      <c r="BO16" s="584"/>
      <c r="BP16" s="584"/>
      <c r="BQ16" s="584"/>
      <c r="BR16" s="584"/>
      <c r="BS16" s="584"/>
      <c r="BT16" s="584"/>
      <c r="BU16" s="584"/>
      <c r="BV16" s="584"/>
      <c r="BW16" s="584"/>
      <c r="BX16" s="584"/>
      <c r="BY16" s="584"/>
      <c r="BZ16" s="584"/>
      <c r="CA16" s="584"/>
      <c r="CB16" s="584"/>
      <c r="CC16" s="585"/>
    </row>
    <row r="17" spans="1:81" ht="15.6" customHeight="1" x14ac:dyDescent="0.25">
      <c r="A17" s="378" t="s">
        <v>44</v>
      </c>
      <c r="B17" s="344" t="str">
        <f>MV!A17</f>
        <v>7136 Uovbwbhi Qnvptf</v>
      </c>
      <c r="C17" s="345" t="str">
        <f>MV!B17</f>
        <v>11/IV</v>
      </c>
      <c r="D17" s="346">
        <f>MV!C17</f>
        <v>45302</v>
      </c>
      <c r="E17" s="345" t="str">
        <f>MV!D17</f>
        <v>-</v>
      </c>
      <c r="F17" s="345" t="str">
        <f>MV!E17</f>
        <v>-</v>
      </c>
      <c r="G17" s="345" t="str">
        <f>MV!F17</f>
        <v>-</v>
      </c>
      <c r="H17" s="345" t="str">
        <f>MV!G17</f>
        <v>-</v>
      </c>
      <c r="I17" s="345" t="str">
        <f>MV!H17</f>
        <v>-</v>
      </c>
      <c r="J17" s="345" t="str">
        <f>MV!I17</f>
        <v>-</v>
      </c>
      <c r="K17" s="345" t="str">
        <f>MV!J17</f>
        <v>-</v>
      </c>
      <c r="L17" s="345" t="str">
        <f>MV!K17</f>
        <v>-</v>
      </c>
      <c r="M17" s="346">
        <f>MV!L17</f>
        <v>45302</v>
      </c>
      <c r="N17" s="347" t="str">
        <f>MV!M17</f>
        <v>-</v>
      </c>
      <c r="O17" s="347" t="str">
        <f>MV!N17</f>
        <v>-</v>
      </c>
      <c r="P17" s="347" t="str">
        <f>MV!O17</f>
        <v>-</v>
      </c>
      <c r="Q17" s="345">
        <f>MV!P17</f>
        <v>2.0000000000000009</v>
      </c>
      <c r="R17" s="345">
        <f>MV!Q17</f>
        <v>10.999999999999996</v>
      </c>
      <c r="S17" s="345" t="str">
        <f>MV!R17</f>
        <v>-</v>
      </c>
      <c r="T17" s="345" t="str">
        <f>MV!S17</f>
        <v>-</v>
      </c>
      <c r="U17" s="345" t="str">
        <f>MV!T17</f>
        <v>-</v>
      </c>
      <c r="V17" s="345" t="str">
        <f>MV!U17</f>
        <v>-</v>
      </c>
      <c r="W17" s="345" t="str">
        <f>MV!V17</f>
        <v>-</v>
      </c>
      <c r="X17" s="345" t="str">
        <f>MV!W17</f>
        <v>-</v>
      </c>
      <c r="Y17" s="348" t="str">
        <f>MV!X17</f>
        <v>nem</v>
      </c>
      <c r="Z17" s="349" t="str">
        <f>Minták!F15</f>
        <v>7136 Uovbwbhi Qnvptf</v>
      </c>
      <c r="AA17" s="346" t="str">
        <f>Minták!C15</f>
        <v>IV</v>
      </c>
      <c r="AB17" s="350" t="str">
        <f>Minták!X15</f>
        <v>-</v>
      </c>
      <c r="AC17" s="351" t="str">
        <f>Minták!Y15</f>
        <v>-</v>
      </c>
      <c r="AD17" s="351" t="str">
        <f>Minták!Z15</f>
        <v>-</v>
      </c>
      <c r="AE17" s="351" t="str">
        <f>Minták!AA15</f>
        <v>-</v>
      </c>
      <c r="AF17" s="351" t="str">
        <f>Minták!AB15</f>
        <v>-</v>
      </c>
      <c r="AG17" s="351" t="str">
        <f>Minták!AC15</f>
        <v>-</v>
      </c>
      <c r="AH17" s="351" t="str">
        <f>Minták!AD15</f>
        <v>-</v>
      </c>
      <c r="AI17" s="351" t="str">
        <f>Minták!AE15</f>
        <v>-</v>
      </c>
      <c r="AJ17" s="351" t="str">
        <f>Minták!AF15</f>
        <v>-</v>
      </c>
      <c r="AK17" s="351" t="str">
        <f>Minták!AG15</f>
        <v>-</v>
      </c>
      <c r="AL17" s="351" t="str">
        <f>Minták!AH15</f>
        <v>-</v>
      </c>
      <c r="AM17" s="351" t="str">
        <f>Minták!AI15</f>
        <v>-</v>
      </c>
      <c r="AN17" s="351" t="str">
        <f>Minták!AJ15</f>
        <v>-</v>
      </c>
      <c r="AO17" s="351" t="str">
        <f>Minták!AK15</f>
        <v>-</v>
      </c>
      <c r="AP17" s="351" t="str">
        <f>Minták!AL15</f>
        <v>-</v>
      </c>
      <c r="AQ17" s="351" t="str">
        <f>Minták!AM15</f>
        <v>-</v>
      </c>
      <c r="AR17" s="351" t="str">
        <f>Minták!AN15</f>
        <v>-</v>
      </c>
      <c r="AS17" s="351" t="str">
        <f>Minták!AO15</f>
        <v>-</v>
      </c>
      <c r="AT17" s="351" t="str">
        <f>Minták!AP15</f>
        <v>-</v>
      </c>
      <c r="AU17" s="351" t="str">
        <f>Minták!AQ15</f>
        <v>-</v>
      </c>
      <c r="AV17" s="351" t="str">
        <f>Minták!AR15</f>
        <v>-</v>
      </c>
      <c r="AW17" s="351" t="str">
        <f>Minták!AS15</f>
        <v>-</v>
      </c>
      <c r="AX17" s="352" t="str">
        <f>Minták!AT15</f>
        <v>-</v>
      </c>
      <c r="BA17" s="334" t="s">
        <v>733</v>
      </c>
      <c r="BB17" s="334" t="e">
        <f t="shared" si="0"/>
        <v>#N/A</v>
      </c>
      <c r="BG17" s="582" t="s">
        <v>756</v>
      </c>
      <c r="BH17" s="583"/>
      <c r="BI17" s="583"/>
      <c r="BJ17" s="583"/>
      <c r="BK17" s="583"/>
      <c r="BL17" s="583"/>
      <c r="BM17" s="584" t="str">
        <f>BB4</f>
        <v>MSZ EN ISO 5667-3:2018</v>
      </c>
      <c r="BN17" s="584"/>
      <c r="BO17" s="584"/>
      <c r="BP17" s="584"/>
      <c r="BQ17" s="584"/>
      <c r="BR17" s="584"/>
      <c r="BS17" s="584"/>
      <c r="BT17" s="584"/>
      <c r="BU17" s="584"/>
      <c r="BV17" s="584"/>
      <c r="BW17" s="584"/>
      <c r="BX17" s="584"/>
      <c r="BY17" s="584"/>
      <c r="BZ17" s="584"/>
      <c r="CA17" s="584"/>
      <c r="CB17" s="584"/>
      <c r="CC17" s="585"/>
    </row>
    <row r="18" spans="1:81" ht="15.6" customHeight="1" x14ac:dyDescent="0.25">
      <c r="A18" s="378" t="s">
        <v>44</v>
      </c>
      <c r="B18" s="344" t="str">
        <f>MV!A18</f>
        <v>3176 Swsvfdsfv Lebdoq</v>
      </c>
      <c r="C18" s="345" t="str">
        <f>MV!B18</f>
        <v>12/IV</v>
      </c>
      <c r="D18" s="346">
        <f>MV!C18</f>
        <v>45303</v>
      </c>
      <c r="E18" s="345" t="str">
        <f>MV!D18</f>
        <v>-</v>
      </c>
      <c r="F18" s="345" t="str">
        <f>MV!E18</f>
        <v>-</v>
      </c>
      <c r="G18" s="345" t="str">
        <f>MV!F18</f>
        <v>-</v>
      </c>
      <c r="H18" s="345" t="str">
        <f>MV!G18</f>
        <v>-</v>
      </c>
      <c r="I18" s="345" t="str">
        <f>MV!H18</f>
        <v>-</v>
      </c>
      <c r="J18" s="345" t="str">
        <f>MV!I18</f>
        <v>-</v>
      </c>
      <c r="K18" s="345" t="str">
        <f>MV!J18</f>
        <v>-</v>
      </c>
      <c r="L18" s="345" t="str">
        <f>MV!K18</f>
        <v>-</v>
      </c>
      <c r="M18" s="346">
        <f>MV!L18</f>
        <v>45303</v>
      </c>
      <c r="N18" s="347" t="str">
        <f>MV!M18</f>
        <v>-</v>
      </c>
      <c r="O18" s="347" t="str">
        <f>MV!N18</f>
        <v>-</v>
      </c>
      <c r="P18" s="347" t="str">
        <f>MV!O18</f>
        <v>-</v>
      </c>
      <c r="Q18" s="345">
        <f>MV!P18</f>
        <v>2.100000000000001</v>
      </c>
      <c r="R18" s="345">
        <f>MV!Q18</f>
        <v>11.099999999999996</v>
      </c>
      <c r="S18" s="345" t="str">
        <f>MV!R18</f>
        <v>-</v>
      </c>
      <c r="T18" s="345" t="str">
        <f>MV!S18</f>
        <v>-</v>
      </c>
      <c r="U18" s="345" t="str">
        <f>MV!T18</f>
        <v>-</v>
      </c>
      <c r="V18" s="345" t="str">
        <f>MV!U18</f>
        <v>-</v>
      </c>
      <c r="W18" s="345" t="str">
        <f>MV!V18</f>
        <v>-</v>
      </c>
      <c r="X18" s="345" t="str">
        <f>MV!W18</f>
        <v>-</v>
      </c>
      <c r="Y18" s="348" t="str">
        <f>MV!X18</f>
        <v>na</v>
      </c>
      <c r="Z18" s="349" t="str">
        <f>Minták!F16</f>
        <v>3176 Swsvfdsfv Lebdoq</v>
      </c>
      <c r="AA18" s="346" t="str">
        <f>Minták!C16</f>
        <v>IV</v>
      </c>
      <c r="AB18" s="350" t="str">
        <f>Minták!X16</f>
        <v>-</v>
      </c>
      <c r="AC18" s="351" t="str">
        <f>Minták!Y16</f>
        <v>-</v>
      </c>
      <c r="AD18" s="351" t="str">
        <f>Minták!Z16</f>
        <v>-</v>
      </c>
      <c r="AE18" s="351" t="str">
        <f>Minták!AA16</f>
        <v>-</v>
      </c>
      <c r="AF18" s="351" t="str">
        <f>Minták!AB16</f>
        <v>-</v>
      </c>
      <c r="AG18" s="351" t="str">
        <f>Minták!AC16</f>
        <v>-</v>
      </c>
      <c r="AH18" s="351" t="str">
        <f>Minták!AD16</f>
        <v>-</v>
      </c>
      <c r="AI18" s="351" t="str">
        <f>Minták!AE16</f>
        <v>-</v>
      </c>
      <c r="AJ18" s="351" t="str">
        <f>Minták!AF16</f>
        <v>-</v>
      </c>
      <c r="AK18" s="351" t="str">
        <f>Minták!AG16</f>
        <v>-</v>
      </c>
      <c r="AL18" s="351" t="str">
        <f>Minták!AH16</f>
        <v>-</v>
      </c>
      <c r="AM18" s="351" t="str">
        <f>Minták!AI16</f>
        <v>-</v>
      </c>
      <c r="AN18" s="351" t="str">
        <f>Minták!AJ16</f>
        <v>-</v>
      </c>
      <c r="AO18" s="351" t="str">
        <f>Minták!AK16</f>
        <v>-</v>
      </c>
      <c r="AP18" s="351" t="str">
        <f>Minták!AL16</f>
        <v>-</v>
      </c>
      <c r="AQ18" s="351" t="str">
        <f>Minták!AM16</f>
        <v>-</v>
      </c>
      <c r="AR18" s="351" t="str">
        <f>Minták!AN16</f>
        <v>-</v>
      </c>
      <c r="AS18" s="351" t="str">
        <f>Minták!AO16</f>
        <v>-</v>
      </c>
      <c r="AT18" s="351" t="str">
        <f>Minták!AP16</f>
        <v>-</v>
      </c>
      <c r="AU18" s="351" t="str">
        <f>Minták!AQ16</f>
        <v>-</v>
      </c>
      <c r="AV18" s="351" t="str">
        <f>Minták!AR16</f>
        <v>-</v>
      </c>
      <c r="AW18" s="351" t="str">
        <f>Minták!AS16</f>
        <v>-</v>
      </c>
      <c r="AX18" s="352" t="str">
        <f>Minták!AT16</f>
        <v>-</v>
      </c>
      <c r="BA18" s="334" t="s">
        <v>734</v>
      </c>
      <c r="BB18" s="334" t="e">
        <f t="shared" si="0"/>
        <v>#N/A</v>
      </c>
      <c r="BG18" s="571"/>
      <c r="BH18" s="572"/>
      <c r="BI18" s="572"/>
      <c r="BJ18" s="572"/>
      <c r="BK18" s="572"/>
      <c r="BL18" s="572"/>
      <c r="BM18" s="572"/>
      <c r="BN18" s="572"/>
      <c r="BO18" s="572"/>
      <c r="BP18" s="572"/>
      <c r="BQ18" s="572"/>
      <c r="BR18" s="572"/>
      <c r="BS18" s="572"/>
      <c r="BT18" s="572"/>
      <c r="BU18" s="572"/>
      <c r="BV18" s="572"/>
      <c r="BW18" s="572"/>
      <c r="BX18" s="572"/>
      <c r="BY18" s="572"/>
      <c r="BZ18" s="572"/>
      <c r="CA18" s="572"/>
      <c r="CB18" s="572"/>
      <c r="CC18" s="602"/>
    </row>
    <row r="19" spans="1:81" ht="15.6" customHeight="1" thickBot="1" x14ac:dyDescent="0.3">
      <c r="A19" s="378" t="s">
        <v>44</v>
      </c>
      <c r="B19" s="344" t="str">
        <f>MV!A19</f>
        <v>3916 Vqhezdzow Askfua</v>
      </c>
      <c r="C19" s="345" t="str">
        <f>MV!B19</f>
        <v>13/IV</v>
      </c>
      <c r="D19" s="346">
        <f>MV!C19</f>
        <v>45304</v>
      </c>
      <c r="E19" s="345" t="str">
        <f>MV!D19</f>
        <v>-</v>
      </c>
      <c r="F19" s="345" t="str">
        <f>MV!E19</f>
        <v>-</v>
      </c>
      <c r="G19" s="345" t="str">
        <f>MV!F19</f>
        <v>-</v>
      </c>
      <c r="H19" s="345" t="str">
        <f>MV!G19</f>
        <v>-</v>
      </c>
      <c r="I19" s="345" t="str">
        <f>MV!H19</f>
        <v>-</v>
      </c>
      <c r="J19" s="345" t="str">
        <f>MV!I19</f>
        <v>-</v>
      </c>
      <c r="K19" s="345" t="str">
        <f>MV!J19</f>
        <v>-</v>
      </c>
      <c r="L19" s="345" t="str">
        <f>MV!K19</f>
        <v>-</v>
      </c>
      <c r="M19" s="346">
        <f>MV!L19</f>
        <v>45304</v>
      </c>
      <c r="N19" s="347" t="str">
        <f>MV!M19</f>
        <v>-</v>
      </c>
      <c r="O19" s="347" t="str">
        <f>MV!N19</f>
        <v>-</v>
      </c>
      <c r="P19" s="347" t="str">
        <f>MV!O19</f>
        <v>-</v>
      </c>
      <c r="Q19" s="345">
        <f>MV!P19</f>
        <v>2.2000000000000011</v>
      </c>
      <c r="R19" s="345">
        <f>MV!Q19</f>
        <v>11.199999999999996</v>
      </c>
      <c r="S19" s="345" t="str">
        <f>MV!R19</f>
        <v>-</v>
      </c>
      <c r="T19" s="345" t="str">
        <f>MV!S19</f>
        <v>-</v>
      </c>
      <c r="U19" s="345" t="str">
        <f>MV!T19</f>
        <v>-</v>
      </c>
      <c r="V19" s="345" t="str">
        <f>MV!U19</f>
        <v>-</v>
      </c>
      <c r="W19" s="345" t="str">
        <f>MV!V19</f>
        <v>-</v>
      </c>
      <c r="X19" s="345" t="str">
        <f>MV!W19</f>
        <v>-</v>
      </c>
      <c r="Y19" s="348" t="str">
        <f>MV!X19</f>
        <v>igen</v>
      </c>
      <c r="Z19" s="349" t="str">
        <f>Minták!F17</f>
        <v>3916 Vqhezdzow Askfua</v>
      </c>
      <c r="AA19" s="346" t="str">
        <f>Minták!C17</f>
        <v>IV</v>
      </c>
      <c r="AB19" s="350" t="str">
        <f>Minták!X17</f>
        <v>-</v>
      </c>
      <c r="AC19" s="351" t="str">
        <f>Minták!Y17</f>
        <v>-</v>
      </c>
      <c r="AD19" s="351" t="str">
        <f>Minták!Z17</f>
        <v>-</v>
      </c>
      <c r="AE19" s="351" t="str">
        <f>Minták!AA17</f>
        <v>-</v>
      </c>
      <c r="AF19" s="351" t="str">
        <f>Minták!AB17</f>
        <v>-</v>
      </c>
      <c r="AG19" s="351" t="str">
        <f>Minták!AC17</f>
        <v>-</v>
      </c>
      <c r="AH19" s="351" t="str">
        <f>Minták!AD17</f>
        <v>-</v>
      </c>
      <c r="AI19" s="351" t="str">
        <f>Minták!AE17</f>
        <v>-</v>
      </c>
      <c r="AJ19" s="351" t="str">
        <f>Minták!AF17</f>
        <v>-</v>
      </c>
      <c r="AK19" s="351" t="str">
        <f>Minták!AG17</f>
        <v>-</v>
      </c>
      <c r="AL19" s="351" t="str">
        <f>Minták!AH17</f>
        <v>-</v>
      </c>
      <c r="AM19" s="351" t="str">
        <f>Minták!AI17</f>
        <v>-</v>
      </c>
      <c r="AN19" s="351" t="str">
        <f>Minták!AJ17</f>
        <v>-</v>
      </c>
      <c r="AO19" s="351" t="str">
        <f>Minták!AK17</f>
        <v>-</v>
      </c>
      <c r="AP19" s="351" t="str">
        <f>Minták!AL17</f>
        <v>-</v>
      </c>
      <c r="AQ19" s="351" t="str">
        <f>Minták!AM17</f>
        <v>-</v>
      </c>
      <c r="AR19" s="351" t="str">
        <f>Minták!AN17</f>
        <v>-</v>
      </c>
      <c r="AS19" s="351" t="str">
        <f>Minták!AO17</f>
        <v>-</v>
      </c>
      <c r="AT19" s="351" t="str">
        <f>Minták!AP17</f>
        <v>-</v>
      </c>
      <c r="AU19" s="351" t="str">
        <f>Minták!AQ17</f>
        <v>-</v>
      </c>
      <c r="AV19" s="351" t="str">
        <f>Minták!AR17</f>
        <v>-</v>
      </c>
      <c r="AW19" s="351" t="str">
        <f>Minták!AS17</f>
        <v>-</v>
      </c>
      <c r="AX19" s="352" t="str">
        <f>Minták!AT17</f>
        <v>-</v>
      </c>
      <c r="BA19" s="334" t="s">
        <v>735</v>
      </c>
      <c r="BB19" s="334" t="e">
        <f t="shared" si="0"/>
        <v>#N/A</v>
      </c>
      <c r="BG19" s="603" t="s">
        <v>761</v>
      </c>
      <c r="BH19" s="604"/>
      <c r="BI19" s="604"/>
      <c r="BJ19" s="604"/>
      <c r="BK19" s="604"/>
      <c r="BL19" s="604"/>
      <c r="BM19" s="604"/>
      <c r="BN19" s="604"/>
      <c r="BO19" s="576" t="str">
        <f>BB5</f>
        <v>2024. évi IV önellenőrzési terv</v>
      </c>
      <c r="BP19" s="576"/>
      <c r="BQ19" s="576"/>
      <c r="BR19" s="576"/>
      <c r="BS19" s="576"/>
      <c r="BT19" s="576"/>
      <c r="BU19" s="576"/>
      <c r="BV19" s="576"/>
      <c r="BW19" s="576"/>
      <c r="BX19" s="576"/>
      <c r="BY19" s="576"/>
      <c r="BZ19" s="576"/>
      <c r="CA19" s="576"/>
      <c r="CB19" s="576"/>
      <c r="CC19" s="577"/>
    </row>
    <row r="20" spans="1:81" ht="15.6" customHeight="1" x14ac:dyDescent="0.25">
      <c r="A20" s="378" t="s">
        <v>44</v>
      </c>
      <c r="B20" s="344" t="str">
        <f>MV!A20</f>
        <v>1730 Gpgmafj Mcsjny</v>
      </c>
      <c r="C20" s="345" t="str">
        <f>MV!B20</f>
        <v>14/IV</v>
      </c>
      <c r="D20" s="346">
        <f>MV!C20</f>
        <v>45305</v>
      </c>
      <c r="E20" s="345" t="str">
        <f>MV!D20</f>
        <v>-</v>
      </c>
      <c r="F20" s="345" t="str">
        <f>MV!E20</f>
        <v>-</v>
      </c>
      <c r="G20" s="345" t="str">
        <f>MV!F20</f>
        <v>-</v>
      </c>
      <c r="H20" s="345" t="str">
        <f>MV!G20</f>
        <v>-</v>
      </c>
      <c r="I20" s="345" t="str">
        <f>MV!H20</f>
        <v>-</v>
      </c>
      <c r="J20" s="345" t="str">
        <f>MV!I20</f>
        <v>-</v>
      </c>
      <c r="K20" s="345" t="str">
        <f>MV!J20</f>
        <v>-</v>
      </c>
      <c r="L20" s="345" t="str">
        <f>MV!K20</f>
        <v>-</v>
      </c>
      <c r="M20" s="346">
        <f>MV!L20</f>
        <v>45305</v>
      </c>
      <c r="N20" s="347" t="str">
        <f>MV!M20</f>
        <v>-</v>
      </c>
      <c r="O20" s="347" t="str">
        <f>MV!N20</f>
        <v>-</v>
      </c>
      <c r="P20" s="347" t="str">
        <f>MV!O20</f>
        <v>-</v>
      </c>
      <c r="Q20" s="345">
        <f>MV!P20</f>
        <v>2.3000000000000012</v>
      </c>
      <c r="R20" s="345">
        <f>MV!Q20</f>
        <v>11.299999999999995</v>
      </c>
      <c r="S20" s="345" t="str">
        <f>MV!R20</f>
        <v>-</v>
      </c>
      <c r="T20" s="345" t="str">
        <f>MV!S20</f>
        <v>-</v>
      </c>
      <c r="U20" s="345" t="str">
        <f>MV!T20</f>
        <v>-</v>
      </c>
      <c r="V20" s="345" t="str">
        <f>MV!U20</f>
        <v>-</v>
      </c>
      <c r="W20" s="345" t="str">
        <f>MV!V20</f>
        <v>-</v>
      </c>
      <c r="X20" s="345" t="str">
        <f>MV!W20</f>
        <v>-</v>
      </c>
      <c r="Y20" s="348" t="str">
        <f>MV!X20</f>
        <v>igen</v>
      </c>
      <c r="Z20" s="349" t="str">
        <f>Minták!F18</f>
        <v>1730 Gpgmafj Mcsjny</v>
      </c>
      <c r="AA20" s="346" t="str">
        <f>Minták!C18</f>
        <v>IV</v>
      </c>
      <c r="AB20" s="350" t="str">
        <f>Minták!X18</f>
        <v>-</v>
      </c>
      <c r="AC20" s="351" t="str">
        <f>Minták!Y18</f>
        <v>-</v>
      </c>
      <c r="AD20" s="351" t="str">
        <f>Minták!Z18</f>
        <v>-</v>
      </c>
      <c r="AE20" s="351" t="str">
        <f>Minták!AA18</f>
        <v>-</v>
      </c>
      <c r="AF20" s="351" t="str">
        <f>Minták!AB18</f>
        <v>-</v>
      </c>
      <c r="AG20" s="351" t="str">
        <f>Minták!AC18</f>
        <v>-</v>
      </c>
      <c r="AH20" s="351" t="str">
        <f>Minták!AD18</f>
        <v>-</v>
      </c>
      <c r="AI20" s="351" t="str">
        <f>Minták!AE18</f>
        <v>-</v>
      </c>
      <c r="AJ20" s="351" t="str">
        <f>Minták!AF18</f>
        <v>-</v>
      </c>
      <c r="AK20" s="351" t="str">
        <f>Minták!AG18</f>
        <v>-</v>
      </c>
      <c r="AL20" s="351" t="str">
        <f>Minták!AH18</f>
        <v>-</v>
      </c>
      <c r="AM20" s="351" t="str">
        <f>Minták!AI18</f>
        <v>-</v>
      </c>
      <c r="AN20" s="351" t="str">
        <f>Minták!AJ18</f>
        <v>-</v>
      </c>
      <c r="AO20" s="351" t="str">
        <f>Minták!AK18</f>
        <v>-</v>
      </c>
      <c r="AP20" s="351" t="str">
        <f>Minták!AL18</f>
        <v>-</v>
      </c>
      <c r="AQ20" s="351" t="str">
        <f>Minták!AM18</f>
        <v>-</v>
      </c>
      <c r="AR20" s="351" t="str">
        <f>Minták!AN18</f>
        <v>-</v>
      </c>
      <c r="AS20" s="351" t="str">
        <f>Minták!AO18</f>
        <v>-</v>
      </c>
      <c r="AT20" s="351" t="str">
        <f>Minták!AP18</f>
        <v>-</v>
      </c>
      <c r="AU20" s="351" t="str">
        <f>Minták!AQ18</f>
        <v>-</v>
      </c>
      <c r="AV20" s="351" t="str">
        <f>Minták!AR18</f>
        <v>-</v>
      </c>
      <c r="AW20" s="351" t="str">
        <f>Minták!AS18</f>
        <v>-</v>
      </c>
      <c r="AX20" s="352" t="str">
        <f>Minták!AT18</f>
        <v>-</v>
      </c>
      <c r="BA20" s="334" t="s">
        <v>791</v>
      </c>
      <c r="BB20" s="355" t="e">
        <f t="shared" si="0"/>
        <v>#N/A</v>
      </c>
      <c r="BG20" s="605" t="s">
        <v>764</v>
      </c>
      <c r="BH20" s="606"/>
      <c r="BI20" s="606"/>
      <c r="BJ20" s="606"/>
      <c r="BK20" s="606"/>
      <c r="BL20" s="606"/>
      <c r="BM20" s="606"/>
      <c r="BN20" s="606"/>
      <c r="BO20" s="606"/>
      <c r="BP20" s="606"/>
      <c r="BQ20" s="606"/>
      <c r="BR20" s="606"/>
      <c r="BS20" s="606"/>
      <c r="BT20" s="606"/>
      <c r="BU20" s="606"/>
      <c r="BV20" s="606"/>
      <c r="BW20" s="606"/>
      <c r="BX20" s="606"/>
      <c r="BY20" s="606"/>
      <c r="BZ20" s="606"/>
      <c r="CA20" s="606"/>
      <c r="CB20" s="606"/>
      <c r="CC20" s="607"/>
    </row>
    <row r="21" spans="1:81" ht="15.6" customHeight="1" x14ac:dyDescent="0.25">
      <c r="A21" s="378" t="s">
        <v>44</v>
      </c>
      <c r="B21" s="344" t="str">
        <f>MV!A21</f>
        <v>2993 Yhabayh Rskdom</v>
      </c>
      <c r="C21" s="345" t="str">
        <f>MV!B21</f>
        <v>15/IV</v>
      </c>
      <c r="D21" s="346">
        <f>MV!C21</f>
        <v>45306</v>
      </c>
      <c r="E21" s="345" t="str">
        <f>MV!D21</f>
        <v>-</v>
      </c>
      <c r="F21" s="345" t="str">
        <f>MV!E21</f>
        <v>-</v>
      </c>
      <c r="G21" s="345" t="str">
        <f>MV!F21</f>
        <v>-</v>
      </c>
      <c r="H21" s="345" t="str">
        <f>MV!G21</f>
        <v>-</v>
      </c>
      <c r="I21" s="345" t="str">
        <f>MV!H21</f>
        <v>-</v>
      </c>
      <c r="J21" s="345" t="str">
        <f>MV!I21</f>
        <v>-</v>
      </c>
      <c r="K21" s="345" t="str">
        <f>MV!J21</f>
        <v>-</v>
      </c>
      <c r="L21" s="345" t="str">
        <f>MV!K21</f>
        <v>-</v>
      </c>
      <c r="M21" s="346">
        <f>MV!L21</f>
        <v>45306</v>
      </c>
      <c r="N21" s="347" t="str">
        <f>MV!M21</f>
        <v>-</v>
      </c>
      <c r="O21" s="347" t="str">
        <f>MV!N21</f>
        <v>-</v>
      </c>
      <c r="P21" s="347" t="str">
        <f>MV!O21</f>
        <v>-</v>
      </c>
      <c r="Q21" s="345">
        <f>MV!P21</f>
        <v>2.4000000000000012</v>
      </c>
      <c r="R21" s="345">
        <f>MV!Q21</f>
        <v>11.399999999999995</v>
      </c>
      <c r="S21" s="345" t="str">
        <f>MV!R21</f>
        <v>-</v>
      </c>
      <c r="T21" s="345" t="str">
        <f>MV!S21</f>
        <v>-</v>
      </c>
      <c r="U21" s="345" t="str">
        <f>MV!T21</f>
        <v>-</v>
      </c>
      <c r="V21" s="345" t="str">
        <f>MV!U21</f>
        <v>-</v>
      </c>
      <c r="W21" s="345" t="str">
        <f>MV!V21</f>
        <v>-</v>
      </c>
      <c r="X21" s="345" t="str">
        <f>MV!W21</f>
        <v>-</v>
      </c>
      <c r="Y21" s="348" t="str">
        <f>MV!X21</f>
        <v>nem</v>
      </c>
      <c r="Z21" s="349" t="str">
        <f>Minták!F19</f>
        <v>2993 Yhabayh Rskdom</v>
      </c>
      <c r="AA21" s="346" t="str">
        <f>Minták!C19</f>
        <v>IV</v>
      </c>
      <c r="AB21" s="350" t="str">
        <f>Minták!X19</f>
        <v>-</v>
      </c>
      <c r="AC21" s="351" t="str">
        <f>Minták!Y19</f>
        <v>-</v>
      </c>
      <c r="AD21" s="351" t="str">
        <f>Minták!Z19</f>
        <v>-</v>
      </c>
      <c r="AE21" s="351" t="str">
        <f>Minták!AA19</f>
        <v>-</v>
      </c>
      <c r="AF21" s="351" t="str">
        <f>Minták!AB19</f>
        <v>-</v>
      </c>
      <c r="AG21" s="351" t="str">
        <f>Minták!AC19</f>
        <v>-</v>
      </c>
      <c r="AH21" s="351" t="str">
        <f>Minták!AD19</f>
        <v>-</v>
      </c>
      <c r="AI21" s="351" t="str">
        <f>Minták!AE19</f>
        <v>-</v>
      </c>
      <c r="AJ21" s="351" t="str">
        <f>Minták!AF19</f>
        <v>-</v>
      </c>
      <c r="AK21" s="351" t="str">
        <f>Minták!AG19</f>
        <v>-</v>
      </c>
      <c r="AL21" s="351" t="str">
        <f>Minták!AH19</f>
        <v>-</v>
      </c>
      <c r="AM21" s="351" t="str">
        <f>Minták!AI19</f>
        <v>-</v>
      </c>
      <c r="AN21" s="351" t="str">
        <f>Minták!AJ19</f>
        <v>-</v>
      </c>
      <c r="AO21" s="351" t="str">
        <f>Minták!AK19</f>
        <v>-</v>
      </c>
      <c r="AP21" s="351" t="str">
        <f>Minták!AL19</f>
        <v>-</v>
      </c>
      <c r="AQ21" s="351" t="str">
        <f>Minták!AM19</f>
        <v>-</v>
      </c>
      <c r="AR21" s="351" t="str">
        <f>Minták!AN19</f>
        <v>-</v>
      </c>
      <c r="AS21" s="351" t="str">
        <f>Minták!AO19</f>
        <v>-</v>
      </c>
      <c r="AT21" s="351" t="str">
        <f>Minták!AP19</f>
        <v>-</v>
      </c>
      <c r="AU21" s="351" t="str">
        <f>Minták!AQ19</f>
        <v>-</v>
      </c>
      <c r="AV21" s="351" t="str">
        <f>Minták!AR19</f>
        <v>-</v>
      </c>
      <c r="AW21" s="351" t="str">
        <f>Minták!AS19</f>
        <v>-</v>
      </c>
      <c r="AX21" s="352" t="str">
        <f>Minták!AT19</f>
        <v>-</v>
      </c>
      <c r="BA21" s="334" t="s">
        <v>322</v>
      </c>
      <c r="BB21" s="355" t="e">
        <f t="shared" si="0"/>
        <v>#N/A</v>
      </c>
      <c r="BG21" s="600" t="s">
        <v>766</v>
      </c>
      <c r="BH21" s="601"/>
      <c r="BI21" s="601"/>
      <c r="BJ21" s="601"/>
      <c r="BK21" s="601"/>
      <c r="BL21" s="601"/>
      <c r="BM21" s="601"/>
      <c r="BN21" s="356" t="e">
        <f t="shared" ref="BN21:BN29" si="1">VLOOKUP(BG21,$BA$32:$BB$52,2,FALSE)</f>
        <v>#N/A</v>
      </c>
      <c r="BO21" s="652" t="s">
        <v>774</v>
      </c>
      <c r="BP21" s="601"/>
      <c r="BQ21" s="601"/>
      <c r="BR21" s="601"/>
      <c r="BS21" s="601"/>
      <c r="BT21" s="601"/>
      <c r="BU21" s="601"/>
      <c r="BV21" s="356" t="e">
        <f t="shared" ref="BV21:BV29" si="2">VLOOKUP(BO21,$BA$32:$BB$52,2,FALSE)</f>
        <v>#N/A</v>
      </c>
      <c r="BW21" s="652" t="s">
        <v>782</v>
      </c>
      <c r="BX21" s="601"/>
      <c r="BY21" s="601"/>
      <c r="BZ21" s="601"/>
      <c r="CA21" s="601"/>
      <c r="CB21" s="601"/>
      <c r="CC21" s="357" t="e">
        <f>VLOOKUP(BW21,$BA$32:$BB$52,2,FALSE)</f>
        <v>#N/A</v>
      </c>
    </row>
    <row r="22" spans="1:81" ht="15.6" customHeight="1" thickBot="1" x14ac:dyDescent="0.3">
      <c r="A22" s="379" t="s">
        <v>44</v>
      </c>
      <c r="B22" s="358" t="str">
        <f>MV!A22</f>
        <v>4856 Qbuvuiydc Jyhjzbmb</v>
      </c>
      <c r="C22" s="359" t="str">
        <f>MV!B22</f>
        <v>16/IV</v>
      </c>
      <c r="D22" s="360">
        <f>MV!C22</f>
        <v>45307</v>
      </c>
      <c r="E22" s="359" t="str">
        <f>MV!D22</f>
        <v>-</v>
      </c>
      <c r="F22" s="359" t="str">
        <f>MV!E22</f>
        <v>-</v>
      </c>
      <c r="G22" s="359" t="str">
        <f>MV!F22</f>
        <v>-</v>
      </c>
      <c r="H22" s="359" t="str">
        <f>MV!G22</f>
        <v>-</v>
      </c>
      <c r="I22" s="359" t="str">
        <f>MV!H22</f>
        <v>-</v>
      </c>
      <c r="J22" s="359" t="str">
        <f>MV!I22</f>
        <v>-</v>
      </c>
      <c r="K22" s="359" t="str">
        <f>MV!J22</f>
        <v>-</v>
      </c>
      <c r="L22" s="359" t="str">
        <f>MV!K22</f>
        <v>-</v>
      </c>
      <c r="M22" s="360">
        <f>MV!L22</f>
        <v>45307</v>
      </c>
      <c r="N22" s="361" t="str">
        <f>MV!M22</f>
        <v>-</v>
      </c>
      <c r="O22" s="361" t="str">
        <f>MV!N22</f>
        <v>-</v>
      </c>
      <c r="P22" s="361" t="str">
        <f>MV!O22</f>
        <v>-</v>
      </c>
      <c r="Q22" s="359">
        <f>MV!P22</f>
        <v>2.5000000000000013</v>
      </c>
      <c r="R22" s="359">
        <f>MV!Q22</f>
        <v>11.499999999999995</v>
      </c>
      <c r="S22" s="359" t="str">
        <f>MV!R22</f>
        <v>-</v>
      </c>
      <c r="T22" s="359" t="str">
        <f>MV!S22</f>
        <v>-</v>
      </c>
      <c r="U22" s="359" t="str">
        <f>MV!T22</f>
        <v>-</v>
      </c>
      <c r="V22" s="359" t="str">
        <f>MV!U22</f>
        <v>-</v>
      </c>
      <c r="W22" s="359" t="str">
        <f>MV!V22</f>
        <v>-</v>
      </c>
      <c r="X22" s="359" t="str">
        <f>MV!W22</f>
        <v>-</v>
      </c>
      <c r="Y22" s="362" t="str">
        <f>MV!X22</f>
        <v>na</v>
      </c>
      <c r="Z22" s="363" t="str">
        <f>Minták!F20</f>
        <v>4856 Qbuvuiydc Jyhjzbmb</v>
      </c>
      <c r="AA22" s="360" t="str">
        <f>Minták!C20</f>
        <v>IV</v>
      </c>
      <c r="AB22" s="364" t="str">
        <f>Minták!X20</f>
        <v>-</v>
      </c>
      <c r="AC22" s="365" t="str">
        <f>Minták!Y20</f>
        <v>-</v>
      </c>
      <c r="AD22" s="365" t="str">
        <f>Minták!Z20</f>
        <v>-</v>
      </c>
      <c r="AE22" s="365" t="str">
        <f>Minták!AA20</f>
        <v>-</v>
      </c>
      <c r="AF22" s="365" t="str">
        <f>Minták!AB20</f>
        <v>-</v>
      </c>
      <c r="AG22" s="365" t="str">
        <f>Minták!AC20</f>
        <v>-</v>
      </c>
      <c r="AH22" s="365" t="str">
        <f>Minták!AD20</f>
        <v>-</v>
      </c>
      <c r="AI22" s="365" t="str">
        <f>Minták!AE20</f>
        <v>-</v>
      </c>
      <c r="AJ22" s="365" t="str">
        <f>Minták!AF20</f>
        <v>-</v>
      </c>
      <c r="AK22" s="365" t="str">
        <f>Minták!AG20</f>
        <v>-</v>
      </c>
      <c r="AL22" s="365" t="str">
        <f>Minták!AH20</f>
        <v>-</v>
      </c>
      <c r="AM22" s="365" t="str">
        <f>Minták!AI20</f>
        <v>-</v>
      </c>
      <c r="AN22" s="365" t="str">
        <f>Minták!AJ20</f>
        <v>-</v>
      </c>
      <c r="AO22" s="365" t="str">
        <f>Minták!AK20</f>
        <v>-</v>
      </c>
      <c r="AP22" s="365" t="str">
        <f>Minták!AL20</f>
        <v>-</v>
      </c>
      <c r="AQ22" s="365" t="str">
        <f>Minták!AM20</f>
        <v>-</v>
      </c>
      <c r="AR22" s="365" t="str">
        <f>Minták!AN20</f>
        <v>-</v>
      </c>
      <c r="AS22" s="365" t="str">
        <f>Minták!AO20</f>
        <v>-</v>
      </c>
      <c r="AT22" s="365" t="str">
        <f>Minták!AP20</f>
        <v>-</v>
      </c>
      <c r="AU22" s="365" t="str">
        <f>Minták!AQ20</f>
        <v>-</v>
      </c>
      <c r="AV22" s="365" t="str">
        <f>Minták!AR20</f>
        <v>-</v>
      </c>
      <c r="AW22" s="365" t="str">
        <f>Minták!AS20</f>
        <v>-</v>
      </c>
      <c r="AX22" s="366" t="str">
        <f>Minták!AT20</f>
        <v>-</v>
      </c>
      <c r="BA22" s="334" t="s">
        <v>794</v>
      </c>
      <c r="BB22" s="334" t="e">
        <f t="shared" si="0"/>
        <v>#N/A</v>
      </c>
      <c r="BG22" s="600" t="s">
        <v>767</v>
      </c>
      <c r="BH22" s="601"/>
      <c r="BI22" s="601"/>
      <c r="BJ22" s="601"/>
      <c r="BK22" s="601"/>
      <c r="BL22" s="601"/>
      <c r="BM22" s="601"/>
      <c r="BN22" s="356" t="e">
        <f t="shared" si="1"/>
        <v>#N/A</v>
      </c>
      <c r="BO22" s="652" t="s">
        <v>775</v>
      </c>
      <c r="BP22" s="601"/>
      <c r="BQ22" s="601"/>
      <c r="BR22" s="601"/>
      <c r="BS22" s="601"/>
      <c r="BT22" s="601"/>
      <c r="BU22" s="601"/>
      <c r="BV22" s="356" t="e">
        <f t="shared" si="2"/>
        <v>#N/A</v>
      </c>
      <c r="BW22" s="652" t="s">
        <v>783</v>
      </c>
      <c r="BX22" s="601"/>
      <c r="BY22" s="601"/>
      <c r="BZ22" s="601"/>
      <c r="CA22" s="601"/>
      <c r="CB22" s="601"/>
      <c r="CC22" s="357" t="e">
        <f>VLOOKUP(BW22,$BA$32:$BB$52,2,FALSE)</f>
        <v>#N/A</v>
      </c>
    </row>
    <row r="23" spans="1:81" ht="15.6" customHeight="1" x14ac:dyDescent="0.25">
      <c r="BA23" s="334" t="s">
        <v>802</v>
      </c>
      <c r="BB23" s="334" t="e">
        <f t="shared" si="0"/>
        <v>#N/A</v>
      </c>
      <c r="BG23" s="600" t="s">
        <v>768</v>
      </c>
      <c r="BH23" s="601"/>
      <c r="BI23" s="601"/>
      <c r="BJ23" s="601"/>
      <c r="BK23" s="601"/>
      <c r="BL23" s="601"/>
      <c r="BM23" s="601"/>
      <c r="BN23" s="356" t="e">
        <f t="shared" si="1"/>
        <v>#N/A</v>
      </c>
      <c r="BO23" s="652" t="s">
        <v>776</v>
      </c>
      <c r="BP23" s="601"/>
      <c r="BQ23" s="601"/>
      <c r="BR23" s="601"/>
      <c r="BS23" s="601"/>
      <c r="BT23" s="601"/>
      <c r="BU23" s="601"/>
      <c r="BV23" s="356" t="e">
        <f t="shared" si="2"/>
        <v>#N/A</v>
      </c>
      <c r="BW23" s="652" t="s">
        <v>784</v>
      </c>
      <c r="BX23" s="601"/>
      <c r="BY23" s="601"/>
      <c r="BZ23" s="601"/>
      <c r="CA23" s="601"/>
      <c r="CB23" s="601"/>
      <c r="CC23" s="357" t="e">
        <f>VLOOKUP(BW23,$BA$32:$BB$52,2,FALSE)</f>
        <v>#N/A</v>
      </c>
    </row>
    <row r="24" spans="1:81" ht="15.6" customHeight="1" x14ac:dyDescent="0.25">
      <c r="BA24" s="334" t="s">
        <v>803</v>
      </c>
      <c r="BB24" s="334" t="e">
        <f t="shared" si="0"/>
        <v>#N/A</v>
      </c>
      <c r="BG24" s="600" t="s">
        <v>769</v>
      </c>
      <c r="BH24" s="601"/>
      <c r="BI24" s="601"/>
      <c r="BJ24" s="601"/>
      <c r="BK24" s="601"/>
      <c r="BL24" s="601"/>
      <c r="BM24" s="601"/>
      <c r="BN24" s="356" t="e">
        <f t="shared" si="1"/>
        <v>#N/A</v>
      </c>
      <c r="BO24" s="652" t="s">
        <v>777</v>
      </c>
      <c r="BP24" s="601"/>
      <c r="BQ24" s="601"/>
      <c r="BR24" s="601"/>
      <c r="BS24" s="601"/>
      <c r="BT24" s="601"/>
      <c r="BU24" s="601"/>
      <c r="BV24" s="356" t="e">
        <f t="shared" si="2"/>
        <v>#N/A</v>
      </c>
      <c r="BW24" s="657" t="s">
        <v>785</v>
      </c>
      <c r="BX24" s="658"/>
      <c r="BY24" s="658"/>
      <c r="BZ24" s="658"/>
      <c r="CA24" s="658"/>
      <c r="CB24" s="658"/>
      <c r="CC24" s="659"/>
    </row>
    <row r="25" spans="1:81" ht="15.6" customHeight="1" x14ac:dyDescent="0.25">
      <c r="BA25" s="334" t="s">
        <v>804</v>
      </c>
      <c r="BB25" s="334" t="e">
        <f t="shared" si="0"/>
        <v>#N/A</v>
      </c>
      <c r="BG25" s="600" t="s">
        <v>770</v>
      </c>
      <c r="BH25" s="601"/>
      <c r="BI25" s="601"/>
      <c r="BJ25" s="601"/>
      <c r="BK25" s="601"/>
      <c r="BL25" s="601"/>
      <c r="BM25" s="601"/>
      <c r="BN25" s="356" t="e">
        <f t="shared" si="1"/>
        <v>#N/A</v>
      </c>
      <c r="BO25" s="652" t="s">
        <v>778</v>
      </c>
      <c r="BP25" s="601"/>
      <c r="BQ25" s="601"/>
      <c r="BR25" s="601"/>
      <c r="BS25" s="601"/>
      <c r="BT25" s="601"/>
      <c r="BU25" s="601"/>
      <c r="BV25" s="356" t="e">
        <f t="shared" si="2"/>
        <v>#N/A</v>
      </c>
      <c r="BW25" s="660" t="e">
        <f>BB7</f>
        <v>#N/A</v>
      </c>
      <c r="BX25" s="661"/>
      <c r="BY25" s="661"/>
      <c r="BZ25" s="661"/>
      <c r="CA25" s="661"/>
      <c r="CB25" s="661"/>
      <c r="CC25" s="662"/>
    </row>
    <row r="26" spans="1:81" ht="15.6" customHeight="1" x14ac:dyDescent="0.25">
      <c r="BA26" s="334" t="s">
        <v>805</v>
      </c>
      <c r="BB26" s="334" t="e">
        <f t="shared" si="0"/>
        <v>#N/A</v>
      </c>
      <c r="BG26" s="600" t="s">
        <v>771</v>
      </c>
      <c r="BH26" s="601"/>
      <c r="BI26" s="601"/>
      <c r="BJ26" s="601"/>
      <c r="BK26" s="601"/>
      <c r="BL26" s="601"/>
      <c r="BM26" s="601"/>
      <c r="BN26" s="356" t="e">
        <f t="shared" si="1"/>
        <v>#N/A</v>
      </c>
      <c r="BO26" s="652" t="s">
        <v>779</v>
      </c>
      <c r="BP26" s="601"/>
      <c r="BQ26" s="601"/>
      <c r="BR26" s="601"/>
      <c r="BS26" s="601"/>
      <c r="BT26" s="601"/>
      <c r="BU26" s="601"/>
      <c r="BV26" s="356" t="e">
        <f t="shared" si="2"/>
        <v>#N/A</v>
      </c>
      <c r="BW26" s="660"/>
      <c r="BX26" s="661"/>
      <c r="BY26" s="661"/>
      <c r="BZ26" s="661"/>
      <c r="CA26" s="661"/>
      <c r="CB26" s="661"/>
      <c r="CC26" s="662"/>
    </row>
    <row r="27" spans="1:81" ht="15.6" customHeight="1" x14ac:dyDescent="0.25">
      <c r="BA27" s="334" t="s">
        <v>806</v>
      </c>
      <c r="BB27" s="334" t="e">
        <f t="shared" si="0"/>
        <v>#N/A</v>
      </c>
      <c r="BG27" s="600" t="s">
        <v>765</v>
      </c>
      <c r="BH27" s="601"/>
      <c r="BI27" s="601"/>
      <c r="BJ27" s="601"/>
      <c r="BK27" s="601"/>
      <c r="BL27" s="601"/>
      <c r="BM27" s="601"/>
      <c r="BN27" s="356" t="e">
        <f t="shared" si="1"/>
        <v>#N/A</v>
      </c>
      <c r="BO27" s="652" t="s">
        <v>781</v>
      </c>
      <c r="BP27" s="601"/>
      <c r="BQ27" s="601"/>
      <c r="BR27" s="601"/>
      <c r="BS27" s="601"/>
      <c r="BT27" s="601"/>
      <c r="BU27" s="601"/>
      <c r="BV27" s="356" t="e">
        <f t="shared" si="2"/>
        <v>#N/A</v>
      </c>
      <c r="BW27" s="660"/>
      <c r="BX27" s="661"/>
      <c r="BY27" s="661"/>
      <c r="BZ27" s="661"/>
      <c r="CA27" s="661"/>
      <c r="CB27" s="661"/>
      <c r="CC27" s="662"/>
    </row>
    <row r="28" spans="1:81" ht="15.6" customHeight="1" x14ac:dyDescent="0.25">
      <c r="BA28" s="334" t="s">
        <v>310</v>
      </c>
      <c r="BB28" s="334" t="e">
        <f t="shared" si="0"/>
        <v>#N/A</v>
      </c>
      <c r="BC28" s="327" t="e">
        <f>VLOOKUP(BB28,MV!$U$43:$V$45,2,FALSE)</f>
        <v>#N/A</v>
      </c>
      <c r="BG28" s="600" t="s">
        <v>773</v>
      </c>
      <c r="BH28" s="601"/>
      <c r="BI28" s="601"/>
      <c r="BJ28" s="601"/>
      <c r="BK28" s="601"/>
      <c r="BL28" s="601"/>
      <c r="BM28" s="601"/>
      <c r="BN28" s="356" t="e">
        <f t="shared" si="1"/>
        <v>#N/A</v>
      </c>
      <c r="BO28" s="652" t="s">
        <v>780</v>
      </c>
      <c r="BP28" s="601"/>
      <c r="BQ28" s="601"/>
      <c r="BR28" s="601"/>
      <c r="BS28" s="601"/>
      <c r="BT28" s="601"/>
      <c r="BU28" s="601"/>
      <c r="BV28" s="356" t="e">
        <f t="shared" si="2"/>
        <v>#N/A</v>
      </c>
      <c r="BW28" s="660"/>
      <c r="BX28" s="661"/>
      <c r="BY28" s="661"/>
      <c r="BZ28" s="661"/>
      <c r="CA28" s="661"/>
      <c r="CB28" s="661"/>
      <c r="CC28" s="662"/>
    </row>
    <row r="29" spans="1:81" ht="15.6" customHeight="1" thickBot="1" x14ac:dyDescent="0.3">
      <c r="BA29" s="334" t="s">
        <v>323</v>
      </c>
      <c r="BB29" s="334" t="e">
        <f t="shared" si="0"/>
        <v>#N/A</v>
      </c>
      <c r="BC29" s="327" t="e">
        <f>VLOOKUP(BB29,MV!$U$43:$V$45,2,FALSE)</f>
        <v>#N/A</v>
      </c>
      <c r="BG29" s="655" t="s">
        <v>772</v>
      </c>
      <c r="BH29" s="654"/>
      <c r="BI29" s="654"/>
      <c r="BJ29" s="654"/>
      <c r="BK29" s="654"/>
      <c r="BL29" s="654"/>
      <c r="BM29" s="654"/>
      <c r="BN29" s="367" t="e">
        <f t="shared" si="1"/>
        <v>#N/A</v>
      </c>
      <c r="BO29" s="653" t="s">
        <v>826</v>
      </c>
      <c r="BP29" s="654"/>
      <c r="BQ29" s="654"/>
      <c r="BR29" s="654"/>
      <c r="BS29" s="654"/>
      <c r="BT29" s="654"/>
      <c r="BU29" s="654"/>
      <c r="BV29" s="367" t="e">
        <f t="shared" si="2"/>
        <v>#N/A</v>
      </c>
      <c r="BW29" s="663"/>
      <c r="BX29" s="664"/>
      <c r="BY29" s="664"/>
      <c r="BZ29" s="664"/>
      <c r="CA29" s="664"/>
      <c r="CB29" s="664"/>
      <c r="CC29" s="665"/>
    </row>
    <row r="30" spans="1:81" ht="15.6" customHeight="1" x14ac:dyDescent="0.25">
      <c r="BA30" s="334" t="s">
        <v>20</v>
      </c>
      <c r="BB30" s="334" t="e">
        <f t="shared" si="0"/>
        <v>#N/A</v>
      </c>
      <c r="BG30" s="649" t="s">
        <v>367</v>
      </c>
      <c r="BH30" s="650"/>
      <c r="BI30" s="650"/>
      <c r="BJ30" s="650"/>
      <c r="BK30" s="650"/>
      <c r="BL30" s="650"/>
      <c r="BM30" s="650"/>
      <c r="BN30" s="650"/>
      <c r="BO30" s="650"/>
      <c r="BP30" s="650"/>
      <c r="BQ30" s="650"/>
      <c r="BR30" s="650"/>
      <c r="BS30" s="650"/>
      <c r="BT30" s="650"/>
      <c r="BU30" s="650"/>
      <c r="BV30" s="650"/>
      <c r="BW30" s="650"/>
      <c r="BX30" s="650"/>
      <c r="BY30" s="650"/>
      <c r="BZ30" s="650"/>
      <c r="CA30" s="650"/>
      <c r="CB30" s="650"/>
      <c r="CC30" s="651"/>
    </row>
    <row r="31" spans="1:81" ht="15.6" customHeight="1" thickBot="1" x14ac:dyDescent="0.3">
      <c r="BA31" s="334" t="s">
        <v>717</v>
      </c>
      <c r="BB31" s="351" t="e">
        <f t="shared" si="0"/>
        <v>#N/A</v>
      </c>
      <c r="BG31" s="567" t="s">
        <v>757</v>
      </c>
      <c r="BH31" s="568"/>
      <c r="BI31" s="568"/>
      <c r="BJ31" s="368" t="e">
        <f>IF(BB14="Pontminta","X","")</f>
        <v>#N/A</v>
      </c>
      <c r="BK31" s="568" t="s">
        <v>758</v>
      </c>
      <c r="BL31" s="568"/>
      <c r="BM31" s="568"/>
      <c r="BN31" s="568"/>
      <c r="BO31" s="568"/>
      <c r="BP31" s="368" t="e">
        <f>IF(BB14="Időarányos átlagminta","X","")</f>
        <v>#N/A</v>
      </c>
      <c r="BQ31" s="568" t="s">
        <v>759</v>
      </c>
      <c r="BR31" s="568"/>
      <c r="BS31" s="568"/>
      <c r="BT31" s="568"/>
      <c r="BU31" s="568"/>
      <c r="BV31" s="568"/>
      <c r="BW31" s="368" t="e">
        <f>IF(BB14="Hozamarányos átlagminta","X","")</f>
        <v>#N/A</v>
      </c>
      <c r="BX31" s="369"/>
      <c r="BY31" s="568" t="s">
        <v>760</v>
      </c>
      <c r="BZ31" s="568"/>
      <c r="CA31" s="568"/>
      <c r="CB31" s="568"/>
      <c r="CC31" s="370" t="e">
        <f>BB15</f>
        <v>#N/A</v>
      </c>
    </row>
    <row r="32" spans="1:81" ht="15.6" customHeight="1" x14ac:dyDescent="0.25">
      <c r="BA32" s="334" t="s">
        <v>768</v>
      </c>
      <c r="BB32" s="334" t="e">
        <f t="shared" si="0"/>
        <v>#N/A</v>
      </c>
      <c r="BG32" s="608" t="s">
        <v>786</v>
      </c>
      <c r="BH32" s="609"/>
      <c r="BI32" s="609"/>
      <c r="BJ32" s="609"/>
      <c r="BK32" s="609"/>
      <c r="BL32" s="609"/>
      <c r="BM32" s="609"/>
      <c r="BN32" s="610" t="e">
        <f>BB16</f>
        <v>#N/A</v>
      </c>
      <c r="BO32" s="610"/>
      <c r="BP32" s="610"/>
      <c r="BQ32" s="610"/>
      <c r="BR32" s="610"/>
      <c r="BS32" s="610"/>
      <c r="BT32" s="610"/>
      <c r="BU32" s="610"/>
      <c r="BV32" s="610"/>
      <c r="BW32" s="610"/>
      <c r="BX32" s="610"/>
      <c r="BY32" s="610"/>
      <c r="BZ32" s="610"/>
      <c r="CA32" s="610"/>
      <c r="CB32" s="610"/>
      <c r="CC32" s="611"/>
    </row>
    <row r="33" spans="53:81" ht="15.6" customHeight="1" x14ac:dyDescent="0.25">
      <c r="BA33" s="334" t="s">
        <v>767</v>
      </c>
      <c r="BB33" s="334" t="e">
        <f t="shared" si="0"/>
        <v>#N/A</v>
      </c>
      <c r="BG33" s="619" t="s">
        <v>787</v>
      </c>
      <c r="BH33" s="620"/>
      <c r="BI33" s="620"/>
      <c r="BJ33" s="620"/>
      <c r="BK33" s="620"/>
      <c r="BL33" s="620"/>
      <c r="BM33" s="621" t="e">
        <f>BB17</f>
        <v>#N/A</v>
      </c>
      <c r="BN33" s="621"/>
      <c r="BO33" s="621"/>
      <c r="BP33" s="621"/>
      <c r="BQ33" s="621"/>
      <c r="BR33" s="621"/>
      <c r="BS33" s="621"/>
      <c r="BT33" s="621"/>
      <c r="BU33" s="621"/>
      <c r="BV33" s="621"/>
      <c r="BW33" s="621"/>
      <c r="BX33" s="621"/>
      <c r="BY33" s="621"/>
      <c r="BZ33" s="621"/>
      <c r="CA33" s="621"/>
      <c r="CB33" s="621"/>
      <c r="CC33" s="622"/>
    </row>
    <row r="34" spans="53:81" ht="15.6" customHeight="1" x14ac:dyDescent="0.25">
      <c r="BA34" s="334" t="s">
        <v>766</v>
      </c>
      <c r="BB34" s="334" t="e">
        <f t="shared" si="0"/>
        <v>#N/A</v>
      </c>
      <c r="BG34" s="619" t="s">
        <v>788</v>
      </c>
      <c r="BH34" s="620"/>
      <c r="BI34" s="620"/>
      <c r="BJ34" s="620"/>
      <c r="BK34" s="620"/>
      <c r="BL34" s="620"/>
      <c r="BM34" s="620"/>
      <c r="BN34" s="620"/>
      <c r="BO34" s="620"/>
      <c r="BP34" s="620"/>
      <c r="BQ34" s="620"/>
      <c r="BR34" s="620"/>
      <c r="BS34" s="621" t="e">
        <f>BB18</f>
        <v>#N/A</v>
      </c>
      <c r="BT34" s="621"/>
      <c r="BU34" s="621"/>
      <c r="BV34" s="621"/>
      <c r="BW34" s="621"/>
      <c r="BX34" s="621"/>
      <c r="BY34" s="621"/>
      <c r="BZ34" s="621"/>
      <c r="CA34" s="621"/>
      <c r="CB34" s="621"/>
      <c r="CC34" s="622"/>
    </row>
    <row r="35" spans="53:81" ht="15.6" customHeight="1" x14ac:dyDescent="0.25">
      <c r="BA35" s="334" t="s">
        <v>779</v>
      </c>
      <c r="BB35" s="334" t="e">
        <f t="shared" si="0"/>
        <v>#N/A</v>
      </c>
      <c r="BG35" s="619" t="s">
        <v>789</v>
      </c>
      <c r="BH35" s="620"/>
      <c r="BI35" s="620"/>
      <c r="BJ35" s="620"/>
      <c r="BK35" s="620"/>
      <c r="BL35" s="620"/>
      <c r="BM35" s="620"/>
      <c r="BN35" s="648" t="e">
        <f>BB19</f>
        <v>#N/A</v>
      </c>
      <c r="BO35" s="621"/>
      <c r="BP35" s="621"/>
      <c r="BQ35" s="621"/>
      <c r="BR35" s="621"/>
      <c r="BS35" s="621"/>
      <c r="BT35" s="621"/>
      <c r="BU35" s="621"/>
      <c r="BV35" s="621"/>
      <c r="BW35" s="621"/>
      <c r="BX35" s="621"/>
      <c r="BY35" s="621"/>
      <c r="BZ35" s="621"/>
      <c r="CA35" s="621"/>
      <c r="CB35" s="621"/>
      <c r="CC35" s="622"/>
    </row>
    <row r="36" spans="53:81" ht="15.6" customHeight="1" thickBot="1" x14ac:dyDescent="0.3">
      <c r="BA36" s="334" t="s">
        <v>769</v>
      </c>
      <c r="BB36" s="334" t="e">
        <f t="shared" si="0"/>
        <v>#N/A</v>
      </c>
      <c r="BG36" s="617" t="s">
        <v>790</v>
      </c>
      <c r="BH36" s="618"/>
      <c r="BI36" s="618"/>
      <c r="BJ36" s="618"/>
      <c r="BK36" s="618"/>
      <c r="BL36" s="618"/>
      <c r="BM36" s="618"/>
      <c r="BN36" s="618"/>
      <c r="BO36" s="618"/>
      <c r="BP36" s="618"/>
      <c r="BQ36" s="618"/>
      <c r="BR36" s="647" t="e">
        <f>BB8</f>
        <v>#N/A</v>
      </c>
      <c r="BS36" s="643"/>
      <c r="BT36" s="643"/>
      <c r="BU36" s="643"/>
      <c r="BV36" s="643"/>
      <c r="BW36" s="642" t="e">
        <f>BB20</f>
        <v>#N/A</v>
      </c>
      <c r="BX36" s="643"/>
      <c r="BY36" s="643"/>
      <c r="BZ36" s="371" t="s">
        <v>44</v>
      </c>
      <c r="CA36" s="644" t="e">
        <f>BB21</f>
        <v>#N/A</v>
      </c>
      <c r="CB36" s="645"/>
      <c r="CC36" s="646"/>
    </row>
    <row r="37" spans="53:81" ht="15.6" customHeight="1" x14ac:dyDescent="0.25">
      <c r="BA37" s="334" t="s">
        <v>771</v>
      </c>
      <c r="BB37" s="334" t="e">
        <f t="shared" si="0"/>
        <v>#N/A</v>
      </c>
      <c r="BG37" s="608" t="s">
        <v>792</v>
      </c>
      <c r="BH37" s="609"/>
      <c r="BI37" s="609"/>
      <c r="BJ37" s="609"/>
      <c r="BK37" s="609"/>
      <c r="BL37" s="609"/>
      <c r="BM37" s="609"/>
      <c r="BN37" s="610" t="e">
        <f>BB22</f>
        <v>#N/A</v>
      </c>
      <c r="BO37" s="610"/>
      <c r="BP37" s="610"/>
      <c r="BQ37" s="610"/>
      <c r="BR37" s="610"/>
      <c r="BS37" s="610"/>
      <c r="BT37" s="610"/>
      <c r="BU37" s="610"/>
      <c r="BV37" s="610"/>
      <c r="BW37" s="610"/>
      <c r="BX37" s="610"/>
      <c r="BY37" s="610"/>
      <c r="BZ37" s="610"/>
      <c r="CA37" s="610"/>
      <c r="CB37" s="610"/>
      <c r="CC37" s="611"/>
    </row>
    <row r="38" spans="53:81" ht="15.6" customHeight="1" x14ac:dyDescent="0.25">
      <c r="BA38" s="334" t="s">
        <v>765</v>
      </c>
      <c r="BB38" s="334" t="e">
        <f t="shared" si="0"/>
        <v>#N/A</v>
      </c>
      <c r="BG38" s="569" t="s">
        <v>797</v>
      </c>
      <c r="BH38" s="570"/>
      <c r="BI38" s="570"/>
      <c r="BJ38" s="570"/>
      <c r="BK38" s="570"/>
      <c r="BL38" s="570"/>
      <c r="BM38" s="570"/>
      <c r="BN38" s="570"/>
      <c r="BO38" s="570"/>
      <c r="BP38" s="570"/>
      <c r="BQ38" s="570"/>
      <c r="BR38" s="570"/>
      <c r="BS38" s="570"/>
      <c r="BT38" s="570"/>
      <c r="BU38" s="570"/>
      <c r="BV38" s="570"/>
      <c r="BW38" s="570"/>
      <c r="BX38" s="570"/>
      <c r="BY38" s="570"/>
      <c r="BZ38" s="570"/>
      <c r="CA38" s="570"/>
      <c r="CB38" s="570"/>
      <c r="CC38" s="578"/>
    </row>
    <row r="39" spans="53:81" ht="15.6" customHeight="1" thickBot="1" x14ac:dyDescent="0.3">
      <c r="BA39" s="334" t="s">
        <v>780</v>
      </c>
      <c r="BB39" s="334" t="e">
        <f t="shared" si="0"/>
        <v>#N/A</v>
      </c>
      <c r="BG39" s="567" t="s">
        <v>780</v>
      </c>
      <c r="BH39" s="568"/>
      <c r="BI39" s="568"/>
      <c r="BJ39" s="568"/>
      <c r="BK39" s="616" t="e">
        <f>BB24</f>
        <v>#N/A</v>
      </c>
      <c r="BL39" s="616"/>
      <c r="BM39" s="368" t="s">
        <v>808</v>
      </c>
      <c r="BN39" s="369" t="s">
        <v>771</v>
      </c>
      <c r="BO39" s="616" t="e">
        <f>BB25</f>
        <v>#N/A</v>
      </c>
      <c r="BP39" s="616"/>
      <c r="BQ39" s="369" t="s">
        <v>820</v>
      </c>
      <c r="BR39" s="616" t="e">
        <f>BB26</f>
        <v>#N/A</v>
      </c>
      <c r="BS39" s="616"/>
      <c r="BT39" s="615" t="s">
        <v>822</v>
      </c>
      <c r="BU39" s="615"/>
      <c r="BV39" s="568" t="s">
        <v>821</v>
      </c>
      <c r="BW39" s="568"/>
      <c r="BX39" s="568"/>
      <c r="BY39" s="568"/>
      <c r="BZ39" s="616" t="e">
        <f>BB27</f>
        <v>#N/A</v>
      </c>
      <c r="CA39" s="616"/>
      <c r="CB39" s="616" t="s">
        <v>45</v>
      </c>
      <c r="CC39" s="666"/>
    </row>
    <row r="40" spans="53:81" ht="15.6" customHeight="1" x14ac:dyDescent="0.25">
      <c r="BA40" s="334" t="s">
        <v>772</v>
      </c>
      <c r="BB40" s="334" t="e">
        <f t="shared" si="0"/>
        <v>#N/A</v>
      </c>
      <c r="BG40" s="372" t="s">
        <v>798</v>
      </c>
      <c r="BH40" s="373"/>
      <c r="BI40" s="373"/>
      <c r="BJ40" s="373"/>
      <c r="BK40" s="373"/>
      <c r="BL40" s="373"/>
      <c r="BM40" s="373"/>
      <c r="BN40" s="373"/>
      <c r="BO40" s="650" t="s">
        <v>807</v>
      </c>
      <c r="BP40" s="650"/>
      <c r="BQ40" s="650"/>
      <c r="BR40" s="650" t="e">
        <f>BB23</f>
        <v>#N/A</v>
      </c>
      <c r="BS40" s="650"/>
      <c r="BT40" s="667" t="s">
        <v>808</v>
      </c>
      <c r="BU40" s="667"/>
      <c r="BV40" s="667"/>
      <c r="BW40" s="667"/>
      <c r="BX40" s="667"/>
      <c r="BY40" s="667"/>
      <c r="BZ40" s="667"/>
      <c r="CA40" s="667"/>
      <c r="CB40" s="667"/>
      <c r="CC40" s="668"/>
    </row>
    <row r="41" spans="53:81" ht="15.6" customHeight="1" x14ac:dyDescent="0.25">
      <c r="BA41" s="334" t="s">
        <v>826</v>
      </c>
      <c r="BB41" s="334" t="e">
        <f t="shared" si="0"/>
        <v>#N/A</v>
      </c>
      <c r="BG41" s="612" t="str">
        <f>IF(BB6="-","",BB6)</f>
        <v/>
      </c>
      <c r="BH41" s="613"/>
      <c r="BI41" s="613"/>
      <c r="BJ41" s="613"/>
      <c r="BK41" s="613"/>
      <c r="BL41" s="613"/>
      <c r="BM41" s="613"/>
      <c r="BN41" s="613"/>
      <c r="BO41" s="613"/>
      <c r="BP41" s="613"/>
      <c r="BQ41" s="613"/>
      <c r="BR41" s="613"/>
      <c r="BS41" s="613"/>
      <c r="BT41" s="613"/>
      <c r="BU41" s="613"/>
      <c r="BV41" s="613"/>
      <c r="BW41" s="613"/>
      <c r="BX41" s="613"/>
      <c r="BY41" s="613"/>
      <c r="BZ41" s="613"/>
      <c r="CA41" s="613"/>
      <c r="CB41" s="613"/>
      <c r="CC41" s="614"/>
    </row>
    <row r="42" spans="53:81" ht="15.6" customHeight="1" x14ac:dyDescent="0.25">
      <c r="BA42" s="334" t="s">
        <v>827</v>
      </c>
      <c r="BB42" s="334" t="e">
        <f t="shared" si="0"/>
        <v>#N/A</v>
      </c>
      <c r="BG42" s="569" t="s">
        <v>799</v>
      </c>
      <c r="BH42" s="570"/>
      <c r="BI42" s="570"/>
      <c r="BJ42" s="570"/>
      <c r="BK42" s="570"/>
      <c r="BL42" s="570"/>
      <c r="BM42" s="570"/>
      <c r="BN42" s="570"/>
      <c r="BO42" s="570"/>
      <c r="BP42" s="670"/>
      <c r="BQ42" s="674" t="s">
        <v>800</v>
      </c>
      <c r="BR42" s="570"/>
      <c r="BS42" s="570"/>
      <c r="BT42" s="570"/>
      <c r="BU42" s="570"/>
      <c r="BV42" s="570"/>
      <c r="BW42" s="570"/>
      <c r="BX42" s="570"/>
      <c r="BY42" s="570"/>
      <c r="BZ42" s="570"/>
      <c r="CA42" s="570"/>
      <c r="CB42" s="570"/>
      <c r="CC42" s="578"/>
    </row>
    <row r="43" spans="53:81" ht="15.6" customHeight="1" thickBot="1" x14ac:dyDescent="0.3">
      <c r="BA43" s="334" t="s">
        <v>775</v>
      </c>
      <c r="BB43" s="334" t="e">
        <f t="shared" si="0"/>
        <v>#N/A</v>
      </c>
      <c r="BG43" s="575" t="e">
        <f>BC28</f>
        <v>#N/A</v>
      </c>
      <c r="BH43" s="576"/>
      <c r="BI43" s="576"/>
      <c r="BJ43" s="576"/>
      <c r="BK43" s="576"/>
      <c r="BL43" s="576"/>
      <c r="BM43" s="576"/>
      <c r="BN43" s="576"/>
      <c r="BO43" s="576"/>
      <c r="BP43" s="669"/>
      <c r="BQ43" s="671"/>
      <c r="BR43" s="672"/>
      <c r="BS43" s="672"/>
      <c r="BT43" s="672"/>
      <c r="BU43" s="672"/>
      <c r="BV43" s="672"/>
      <c r="BW43" s="672"/>
      <c r="BX43" s="672"/>
      <c r="BY43" s="672"/>
      <c r="BZ43" s="672"/>
      <c r="CA43" s="672"/>
      <c r="CB43" s="672"/>
      <c r="CC43" s="673"/>
    </row>
    <row r="44" spans="53:81" ht="15.6" customHeight="1" x14ac:dyDescent="0.25">
      <c r="BA44" s="334" t="s">
        <v>773</v>
      </c>
      <c r="BB44" s="334" t="e">
        <f t="shared" si="0"/>
        <v>#N/A</v>
      </c>
      <c r="BG44" s="372" t="s">
        <v>816</v>
      </c>
      <c r="BH44" s="373"/>
      <c r="BI44" s="373"/>
      <c r="BJ44" s="374"/>
      <c r="BK44" s="675" t="e">
        <f>BB30</f>
        <v>#N/A</v>
      </c>
      <c r="BL44" s="562"/>
      <c r="BM44" s="676"/>
      <c r="BN44" s="680" t="s">
        <v>818</v>
      </c>
      <c r="BO44" s="681"/>
      <c r="BP44" s="681"/>
      <c r="BQ44" s="681"/>
      <c r="BR44" s="682"/>
      <c r="BS44" s="685" t="e">
        <f>BB31</f>
        <v>#N/A</v>
      </c>
      <c r="BT44" s="686"/>
      <c r="BU44" s="686"/>
      <c r="BV44" s="686"/>
      <c r="BW44" s="686"/>
      <c r="BX44" s="686"/>
      <c r="BY44" s="686"/>
      <c r="BZ44" s="686"/>
      <c r="CA44" s="686"/>
      <c r="CB44" s="686"/>
      <c r="CC44" s="687"/>
    </row>
    <row r="45" spans="53:81" ht="15.6" customHeight="1" thickBot="1" x14ac:dyDescent="0.3">
      <c r="BA45" s="334" t="s">
        <v>781</v>
      </c>
      <c r="BB45" s="334" t="e">
        <f t="shared" si="0"/>
        <v>#N/A</v>
      </c>
      <c r="BG45" s="567" t="s">
        <v>817</v>
      </c>
      <c r="BH45" s="568"/>
      <c r="BI45" s="568"/>
      <c r="BJ45" s="656"/>
      <c r="BK45" s="677"/>
      <c r="BL45" s="678"/>
      <c r="BM45" s="679"/>
      <c r="BN45" s="375" t="s">
        <v>819</v>
      </c>
      <c r="BO45" s="369"/>
      <c r="BP45" s="369"/>
      <c r="BQ45" s="369"/>
      <c r="BR45" s="376"/>
      <c r="BS45" s="683" t="e">
        <f>BC29</f>
        <v>#N/A</v>
      </c>
      <c r="BT45" s="568"/>
      <c r="BU45" s="568"/>
      <c r="BV45" s="568"/>
      <c r="BW45" s="568"/>
      <c r="BX45" s="568"/>
      <c r="BY45" s="568"/>
      <c r="BZ45" s="568"/>
      <c r="CA45" s="568"/>
      <c r="CB45" s="568"/>
      <c r="CC45" s="684"/>
    </row>
    <row r="46" spans="53:81" ht="15.6" customHeight="1" x14ac:dyDescent="0.25">
      <c r="BA46" s="334" t="s">
        <v>776</v>
      </c>
      <c r="BB46" s="334" t="e">
        <f t="shared" si="0"/>
        <v>#N/A</v>
      </c>
    </row>
    <row r="47" spans="53:81" ht="15.6" customHeight="1" x14ac:dyDescent="0.25">
      <c r="BA47" s="334" t="s">
        <v>777</v>
      </c>
      <c r="BB47" s="334" t="e">
        <f t="shared" si="0"/>
        <v>#N/A</v>
      </c>
    </row>
    <row r="48" spans="53:81" ht="15.6" customHeight="1" x14ac:dyDescent="0.25">
      <c r="BA48" s="334" t="s">
        <v>778</v>
      </c>
      <c r="BB48" s="334" t="e">
        <f t="shared" si="0"/>
        <v>#N/A</v>
      </c>
    </row>
    <row r="49" spans="53:54" ht="15.6" customHeight="1" x14ac:dyDescent="0.25">
      <c r="BA49" s="334" t="s">
        <v>774</v>
      </c>
      <c r="BB49" s="334" t="e">
        <f t="shared" si="0"/>
        <v>#N/A</v>
      </c>
    </row>
    <row r="50" spans="53:54" ht="15.6" customHeight="1" x14ac:dyDescent="0.25">
      <c r="BA50" s="334" t="s">
        <v>782</v>
      </c>
      <c r="BB50" s="334" t="e">
        <f t="shared" si="0"/>
        <v>#N/A</v>
      </c>
    </row>
    <row r="51" spans="53:54" ht="15.6" customHeight="1" x14ac:dyDescent="0.25">
      <c r="BA51" s="334" t="s">
        <v>783</v>
      </c>
      <c r="BB51" s="334" t="e">
        <f t="shared" si="0"/>
        <v>#N/A</v>
      </c>
    </row>
    <row r="52" spans="53:54" ht="15.6" customHeight="1" x14ac:dyDescent="0.25">
      <c r="BA52" s="334" t="s">
        <v>784</v>
      </c>
      <c r="BB52" s="334" t="e">
        <f t="shared" si="0"/>
        <v>#N/A</v>
      </c>
    </row>
  </sheetData>
  <sheetProtection algorithmName="SHA-512" hashValue="4dIsnvKRr7x8vOlt0YPb4CvqnXssBYIIL4TUA/hEULJt1kW+LjwpT/5h3FaPqB8IPEZP38HmP632n7rHzcY9gA==" saltValue="y5BbEtI6cE4OG5RsNnilDw==" spinCount="100000" sheet="1" objects="1" scenarios="1"/>
  <mergeCells count="141">
    <mergeCell ref="BG45:BJ45"/>
    <mergeCell ref="BW24:CC24"/>
    <mergeCell ref="BW25:CC29"/>
    <mergeCell ref="BW21:CB21"/>
    <mergeCell ref="BW22:CB22"/>
    <mergeCell ref="BW23:CB23"/>
    <mergeCell ref="CB39:CC39"/>
    <mergeCell ref="BT40:CC40"/>
    <mergeCell ref="BG38:CC38"/>
    <mergeCell ref="BG39:BJ39"/>
    <mergeCell ref="BV39:BY39"/>
    <mergeCell ref="BG43:BP43"/>
    <mergeCell ref="BG42:BP42"/>
    <mergeCell ref="BQ43:CC43"/>
    <mergeCell ref="BQ42:CC42"/>
    <mergeCell ref="BK44:BM45"/>
    <mergeCell ref="BN44:BR44"/>
    <mergeCell ref="BS45:CC45"/>
    <mergeCell ref="BS44:CC44"/>
    <mergeCell ref="BO40:BQ40"/>
    <mergeCell ref="BR40:BS40"/>
    <mergeCell ref="BK39:BL39"/>
    <mergeCell ref="BR39:BS39"/>
    <mergeCell ref="BO39:BP39"/>
    <mergeCell ref="BP1:CC4"/>
    <mergeCell ref="BG1:BO4"/>
    <mergeCell ref="BG5:CC5"/>
    <mergeCell ref="BW36:BY36"/>
    <mergeCell ref="CA36:CC36"/>
    <mergeCell ref="BR36:BV36"/>
    <mergeCell ref="BN35:CC35"/>
    <mergeCell ref="BG32:BM32"/>
    <mergeCell ref="BN32:CC32"/>
    <mergeCell ref="BG30:CC30"/>
    <mergeCell ref="BO27:BU27"/>
    <mergeCell ref="BO28:BU28"/>
    <mergeCell ref="BO29:BU29"/>
    <mergeCell ref="BG28:BM28"/>
    <mergeCell ref="BG29:BM29"/>
    <mergeCell ref="BO21:BU21"/>
    <mergeCell ref="BO22:BU22"/>
    <mergeCell ref="BO23:BU23"/>
    <mergeCell ref="BO24:BU24"/>
    <mergeCell ref="BO25:BU25"/>
    <mergeCell ref="BO26:BU26"/>
    <mergeCell ref="BG27:BM27"/>
    <mergeCell ref="BG21:BM21"/>
    <mergeCell ref="BG22:BM22"/>
    <mergeCell ref="BG37:BM37"/>
    <mergeCell ref="BN37:CC37"/>
    <mergeCell ref="BG41:CC41"/>
    <mergeCell ref="BT39:BU39"/>
    <mergeCell ref="BZ39:CA39"/>
    <mergeCell ref="BG36:BQ36"/>
    <mergeCell ref="BG35:BM35"/>
    <mergeCell ref="BG34:BR34"/>
    <mergeCell ref="BG33:BL33"/>
    <mergeCell ref="BM33:CC33"/>
    <mergeCell ref="BS34:CC34"/>
    <mergeCell ref="BG23:BM23"/>
    <mergeCell ref="BG24:BM24"/>
    <mergeCell ref="BG25:BM25"/>
    <mergeCell ref="BG26:BM26"/>
    <mergeCell ref="BG18:BL18"/>
    <mergeCell ref="BM18:CC18"/>
    <mergeCell ref="BG19:BN19"/>
    <mergeCell ref="BO19:CC19"/>
    <mergeCell ref="BG20:CC20"/>
    <mergeCell ref="BG13:CC13"/>
    <mergeCell ref="BG15:CC15"/>
    <mergeCell ref="BG16:BL16"/>
    <mergeCell ref="BG17:BL17"/>
    <mergeCell ref="BM17:CC17"/>
    <mergeCell ref="BM16:CC16"/>
    <mergeCell ref="BG11:BL12"/>
    <mergeCell ref="BM8:CC8"/>
    <mergeCell ref="BM9:CC9"/>
    <mergeCell ref="BM10:CC10"/>
    <mergeCell ref="BM11:CC11"/>
    <mergeCell ref="BM12:CC12"/>
    <mergeCell ref="BG6:CC7"/>
    <mergeCell ref="BG31:BI31"/>
    <mergeCell ref="BK31:BO31"/>
    <mergeCell ref="BQ31:BV31"/>
    <mergeCell ref="BY31:CB31"/>
    <mergeCell ref="BG8:BL8"/>
    <mergeCell ref="BG9:BL9"/>
    <mergeCell ref="BG10:BL10"/>
    <mergeCell ref="Y3:Y6"/>
    <mergeCell ref="AB3:AB6"/>
    <mergeCell ref="AC3:AC6"/>
    <mergeCell ref="AD3:AD6"/>
    <mergeCell ref="AE3:AE6"/>
    <mergeCell ref="AF3:AF6"/>
    <mergeCell ref="AG3:AG6"/>
    <mergeCell ref="AH3:AH6"/>
    <mergeCell ref="AI3:AI6"/>
    <mergeCell ref="AJ3:AJ6"/>
    <mergeCell ref="AK3:AK6"/>
    <mergeCell ref="AL3:AL6"/>
    <mergeCell ref="AM3:AM6"/>
    <mergeCell ref="AN3:AN6"/>
    <mergeCell ref="AO3:AO6"/>
    <mergeCell ref="BG14:CC14"/>
    <mergeCell ref="A3:A6"/>
    <mergeCell ref="W3:W6"/>
    <mergeCell ref="E3:E6"/>
    <mergeCell ref="F3:F6"/>
    <mergeCell ref="Q3:Q6"/>
    <mergeCell ref="R3:R6"/>
    <mergeCell ref="M3:M6"/>
    <mergeCell ref="N3:N6"/>
    <mergeCell ref="O3:O6"/>
    <mergeCell ref="P3:P6"/>
    <mergeCell ref="V3:V6"/>
    <mergeCell ref="X3:X6"/>
    <mergeCell ref="S3:S6"/>
    <mergeCell ref="T3:T6"/>
    <mergeCell ref="U3:U6"/>
    <mergeCell ref="B1:Y2"/>
    <mergeCell ref="B3:B6"/>
    <mergeCell ref="C3:C6"/>
    <mergeCell ref="D3:D6"/>
    <mergeCell ref="G3:G6"/>
    <mergeCell ref="H3:H6"/>
    <mergeCell ref="I3:I6"/>
    <mergeCell ref="J3:J6"/>
    <mergeCell ref="K3:K6"/>
    <mergeCell ref="L3:L6"/>
    <mergeCell ref="Z1:AX2"/>
    <mergeCell ref="AP3:AP6"/>
    <mergeCell ref="AQ3:AQ6"/>
    <mergeCell ref="AR3:AR6"/>
    <mergeCell ref="AS3:AS6"/>
    <mergeCell ref="AT3:AT6"/>
    <mergeCell ref="AU3:AU6"/>
    <mergeCell ref="AV3:AV6"/>
    <mergeCell ref="AW3:AW6"/>
    <mergeCell ref="AX3:AX6"/>
    <mergeCell ref="AA3:AA6"/>
    <mergeCell ref="Z3:Z6"/>
  </mergeCells>
  <conditionalFormatting sqref="BC10 BE8 BC9:BD9">
    <cfRule type="cellIs" dxfId="1" priority="3" operator="equal">
      <formula>"HIBA"</formula>
    </cfRule>
  </conditionalFormatting>
  <conditionalFormatting sqref="AY8">
    <cfRule type="cellIs" dxfId="0" priority="1" operator="equal">
      <formula>"HIBA"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headerFooter differentOddEven="1">
    <oddFooter>&amp;LAQUA MK9.9/1-3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>
    <pageSetUpPr fitToPage="1"/>
  </sheetPr>
  <dimension ref="A1:V35"/>
  <sheetViews>
    <sheetView topLeftCell="A4" zoomScaleNormal="100" workbookViewId="0">
      <selection activeCell="E7" sqref="E7:E24"/>
    </sheetView>
  </sheetViews>
  <sheetFormatPr defaultColWidth="9.140625" defaultRowHeight="18.399999999999999" customHeight="1" x14ac:dyDescent="0.25"/>
  <cols>
    <col min="1" max="1" width="33" customWidth="1"/>
    <col min="7" max="7" width="18.5703125" customWidth="1"/>
    <col min="12" max="12" width="9.140625" style="82"/>
    <col min="13" max="13" width="13.85546875" style="82" customWidth="1"/>
    <col min="14" max="14" width="27.5703125" style="82" customWidth="1"/>
    <col min="15" max="18" width="9.140625" style="82"/>
    <col min="19" max="19" width="11.85546875" style="82" customWidth="1"/>
    <col min="20" max="20" width="9.140625" style="82"/>
    <col min="21" max="21" width="17.5703125" style="82" customWidth="1"/>
    <col min="22" max="22" width="19.7109375" style="82" customWidth="1"/>
  </cols>
  <sheetData>
    <row r="1" spans="1:22" ht="18.399999999999999" customHeight="1" x14ac:dyDescent="0.25">
      <c r="A1" s="529" t="s">
        <v>12</v>
      </c>
      <c r="B1" s="529"/>
      <c r="C1" s="529"/>
      <c r="D1" s="529"/>
      <c r="E1" s="529"/>
      <c r="F1" s="529"/>
      <c r="G1" s="529"/>
      <c r="L1" s="438" t="s">
        <v>319</v>
      </c>
      <c r="M1" s="690"/>
      <c r="N1" s="695" t="s">
        <v>333</v>
      </c>
      <c r="O1" s="696"/>
      <c r="P1" s="696"/>
      <c r="Q1" s="696"/>
      <c r="R1" s="696"/>
      <c r="S1" s="696"/>
      <c r="T1" s="696"/>
      <c r="U1" s="697"/>
      <c r="V1" s="219" t="s">
        <v>334</v>
      </c>
    </row>
    <row r="2" spans="1:22" ht="18.399999999999999" customHeight="1" thickBot="1" x14ac:dyDescent="0.3">
      <c r="A2" s="529"/>
      <c r="B2" s="529"/>
      <c r="C2" s="529"/>
      <c r="D2" s="529"/>
      <c r="E2" s="529"/>
      <c r="F2" s="529"/>
      <c r="G2" s="529"/>
      <c r="L2" s="691"/>
      <c r="M2" s="692"/>
      <c r="N2" s="698"/>
      <c r="O2" s="699"/>
      <c r="P2" s="699"/>
      <c r="Q2" s="699"/>
      <c r="R2" s="699"/>
      <c r="S2" s="699"/>
      <c r="T2" s="699"/>
      <c r="U2" s="700"/>
      <c r="V2" s="220" t="s">
        <v>320</v>
      </c>
    </row>
    <row r="3" spans="1:22" ht="18.399999999999999" customHeight="1" x14ac:dyDescent="0.25">
      <c r="A3" s="507" t="s">
        <v>2</v>
      </c>
      <c r="B3" s="507" t="s">
        <v>4</v>
      </c>
      <c r="C3" s="507" t="s">
        <v>10</v>
      </c>
      <c r="D3" s="507" t="s">
        <v>0</v>
      </c>
      <c r="E3" s="507" t="s">
        <v>1</v>
      </c>
      <c r="F3" s="507" t="s">
        <v>5</v>
      </c>
      <c r="G3" s="507" t="s">
        <v>140</v>
      </c>
      <c r="L3" s="691"/>
      <c r="M3" s="692"/>
      <c r="N3" s="698"/>
      <c r="O3" s="699"/>
      <c r="P3" s="699"/>
      <c r="Q3" s="699"/>
      <c r="R3" s="699"/>
      <c r="S3" s="699"/>
      <c r="T3" s="699"/>
      <c r="U3" s="700"/>
      <c r="V3" s="220" t="s">
        <v>706</v>
      </c>
    </row>
    <row r="4" spans="1:22" ht="18.399999999999999" customHeight="1" x14ac:dyDescent="0.25">
      <c r="A4" s="508"/>
      <c r="B4" s="508"/>
      <c r="C4" s="508"/>
      <c r="D4" s="508"/>
      <c r="E4" s="508"/>
      <c r="F4" s="508"/>
      <c r="G4" s="508"/>
      <c r="L4" s="693"/>
      <c r="M4" s="694"/>
      <c r="N4" s="701"/>
      <c r="O4" s="702"/>
      <c r="P4" s="702"/>
      <c r="Q4" s="702"/>
      <c r="R4" s="702"/>
      <c r="S4" s="702"/>
      <c r="T4" s="702"/>
      <c r="U4" s="703"/>
      <c r="V4" s="221" t="s">
        <v>324</v>
      </c>
    </row>
    <row r="5" spans="1:22" ht="18.399999999999999" customHeight="1" thickBot="1" x14ac:dyDescent="0.3">
      <c r="A5" s="508"/>
      <c r="B5" s="508"/>
      <c r="C5" s="508"/>
      <c r="D5" s="508"/>
      <c r="E5" s="508"/>
      <c r="F5" s="508"/>
      <c r="G5" s="508"/>
    </row>
    <row r="6" spans="1:22" ht="18.399999999999999" customHeight="1" x14ac:dyDescent="0.25">
      <c r="A6" s="509"/>
      <c r="B6" s="508"/>
      <c r="C6" s="508"/>
      <c r="D6" s="508"/>
      <c r="E6" s="508"/>
      <c r="F6" s="508"/>
      <c r="G6" s="508"/>
      <c r="L6" s="704" t="s">
        <v>25</v>
      </c>
      <c r="M6" s="704" t="s">
        <v>26</v>
      </c>
      <c r="N6" s="707" t="s">
        <v>27</v>
      </c>
      <c r="O6" s="710" t="s">
        <v>28</v>
      </c>
      <c r="P6" s="711"/>
      <c r="Q6" s="712"/>
      <c r="R6" s="222" t="s">
        <v>29</v>
      </c>
      <c r="S6" s="688" t="s">
        <v>134</v>
      </c>
      <c r="T6" s="688" t="s">
        <v>5</v>
      </c>
      <c r="U6" s="222" t="s">
        <v>244</v>
      </c>
      <c r="V6" s="688" t="s">
        <v>32</v>
      </c>
    </row>
    <row r="7" spans="1:22" ht="18.399999999999999" customHeight="1" thickBot="1" x14ac:dyDescent="0.3">
      <c r="A7" s="1" t="str">
        <f>Minták!W5</f>
        <v>1/IV-Nhhlz</v>
      </c>
      <c r="B7" s="4">
        <v>0</v>
      </c>
      <c r="C7" s="4">
        <v>0.01</v>
      </c>
      <c r="D7" s="223">
        <f>C7-$B$7</f>
        <v>0.01</v>
      </c>
      <c r="E7" s="4">
        <v>1</v>
      </c>
      <c r="F7" s="18">
        <v>0.81110000000000004</v>
      </c>
      <c r="G7" s="224">
        <f>D7*E7*$F$7</f>
        <v>8.1110000000000002E-3</v>
      </c>
      <c r="H7" t="str">
        <f t="shared" ref="H7:H22" si="0">IFERROR(IF(G7&lt;VALUE(B$33),CONCATENATE("&lt;",B$33),IF(G7&lt;10,FIXED(G7,2),IF(G7&lt;100,FIXED(G7,1),IF(G7&lt;1000,FIXED(G7,0),FIXED(G7,-1))))),"-")</f>
        <v>&lt;0,04</v>
      </c>
      <c r="L7" s="705"/>
      <c r="M7" s="705"/>
      <c r="N7" s="708"/>
      <c r="O7" s="713"/>
      <c r="P7" s="714"/>
      <c r="Q7" s="715"/>
      <c r="R7" s="225" t="s">
        <v>30</v>
      </c>
      <c r="S7" s="689"/>
      <c r="T7" s="689"/>
      <c r="U7" s="226" t="s">
        <v>31</v>
      </c>
      <c r="V7" s="689"/>
    </row>
    <row r="8" spans="1:22" ht="18.399999999999999" customHeight="1" thickBot="1" x14ac:dyDescent="0.3">
      <c r="A8" s="1" t="str">
        <f>Minták!W6</f>
        <v>2/IV-ADATOT BEÍRNI</v>
      </c>
      <c r="B8" s="147"/>
      <c r="C8" s="4">
        <f>C7+0.01</f>
        <v>0.02</v>
      </c>
      <c r="D8" s="223">
        <f t="shared" ref="D8:D24" si="1">C8-$B$7</f>
        <v>0.02</v>
      </c>
      <c r="E8" s="4">
        <v>1</v>
      </c>
      <c r="F8" s="223"/>
      <c r="G8" s="224">
        <f t="shared" ref="G8:G24" si="2">D8*E8*$F$7</f>
        <v>1.6222E-2</v>
      </c>
      <c r="H8" t="str">
        <f t="shared" si="0"/>
        <v>&lt;0,04</v>
      </c>
      <c r="L8" s="706"/>
      <c r="M8" s="706"/>
      <c r="N8" s="709"/>
      <c r="O8" s="222" t="s">
        <v>33</v>
      </c>
      <c r="P8" s="222" t="s">
        <v>34</v>
      </c>
      <c r="Q8" s="222" t="s">
        <v>35</v>
      </c>
      <c r="R8" s="227"/>
      <c r="S8" s="689"/>
      <c r="T8" s="689"/>
      <c r="U8" s="228" t="s">
        <v>133</v>
      </c>
      <c r="V8" s="689"/>
    </row>
    <row r="9" spans="1:22" ht="18.399999999999999" customHeight="1" x14ac:dyDescent="0.25">
      <c r="A9" s="1" t="str">
        <f>Minták!W7</f>
        <v>3/KIV-ADATOT BEÍRNI</v>
      </c>
      <c r="B9" s="229"/>
      <c r="C9" s="4">
        <f t="shared" ref="C9:C24" si="3">C8+0.01</f>
        <v>0.03</v>
      </c>
      <c r="D9" s="223">
        <f t="shared" si="1"/>
        <v>0.03</v>
      </c>
      <c r="E9" s="4">
        <v>1</v>
      </c>
      <c r="F9" s="223"/>
      <c r="G9" s="224">
        <f t="shared" si="2"/>
        <v>2.4333E-2</v>
      </c>
      <c r="H9" t="str">
        <f t="shared" si="0"/>
        <v>&lt;0,04</v>
      </c>
      <c r="L9" s="230" t="str">
        <f>IF(Minták!D5="","",Minták!D5)</f>
        <v>1/IV</v>
      </c>
      <c r="M9" s="231" t="str">
        <f>A30</f>
        <v>-</v>
      </c>
      <c r="N9" s="232" t="str">
        <f>IF(Minták!H5="","",Minták!H5)</f>
        <v>Nhhlz</v>
      </c>
      <c r="O9" s="233">
        <f>B7</f>
        <v>0</v>
      </c>
      <c r="P9" s="233">
        <f t="shared" ref="P9:P24" si="4">IF($A7="-","",C7)</f>
        <v>0.01</v>
      </c>
      <c r="Q9" s="233">
        <f t="shared" ref="Q9:Q26" si="5">IF($A7="-","",IFERROR(D7,"-"))</f>
        <v>0.01</v>
      </c>
      <c r="R9" s="234">
        <f>A32</f>
        <v>2</v>
      </c>
      <c r="S9" s="234">
        <f>IFERROR(IF($A7="-","",B$35/E7),"-")</f>
        <v>40</v>
      </c>
      <c r="T9" s="234">
        <f>F7</f>
        <v>0.81110000000000004</v>
      </c>
      <c r="U9" s="235" t="str">
        <f t="shared" ref="U9:U24" si="6">H7</f>
        <v>&lt;0,04</v>
      </c>
      <c r="V9" s="236"/>
    </row>
    <row r="10" spans="1:22" ht="18.399999999999999" customHeight="1" x14ac:dyDescent="0.25">
      <c r="A10" s="1" t="str">
        <f>Minták!W8</f>
        <v>4/IV-Ebnxscqc</v>
      </c>
      <c r="B10" s="229"/>
      <c r="C10" s="4">
        <f t="shared" si="3"/>
        <v>0.04</v>
      </c>
      <c r="D10" s="223">
        <f t="shared" si="1"/>
        <v>0.04</v>
      </c>
      <c r="E10" s="4">
        <v>1</v>
      </c>
      <c r="F10" s="223"/>
      <c r="G10" s="224">
        <f t="shared" si="2"/>
        <v>3.2444000000000001E-2</v>
      </c>
      <c r="H10" t="str">
        <f t="shared" si="0"/>
        <v>&lt;0,04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40"/>
      <c r="P10" s="241">
        <f t="shared" si="4"/>
        <v>0.02</v>
      </c>
      <c r="Q10" s="241">
        <f t="shared" si="5"/>
        <v>0.02</v>
      </c>
      <c r="R10" s="238"/>
      <c r="S10" s="238">
        <f t="shared" ref="S10:S26" si="7">IFERROR(IF($A8="-","",B$35/E8),"-")</f>
        <v>40</v>
      </c>
      <c r="T10" s="238"/>
      <c r="U10" s="242" t="str">
        <f t="shared" si="6"/>
        <v>&lt;0,04</v>
      </c>
      <c r="V10" s="243"/>
    </row>
    <row r="11" spans="1:22" ht="18.399999999999999" customHeight="1" x14ac:dyDescent="0.25">
      <c r="A11" s="1" t="str">
        <f>Minták!W9</f>
        <v>5/IV-Ubqpva</v>
      </c>
      <c r="B11" s="229"/>
      <c r="C11" s="4">
        <f t="shared" si="3"/>
        <v>0.05</v>
      </c>
      <c r="D11" s="223">
        <f t="shared" si="1"/>
        <v>0.05</v>
      </c>
      <c r="E11" s="4">
        <v>1</v>
      </c>
      <c r="F11" s="223"/>
      <c r="G11" s="224">
        <f t="shared" si="2"/>
        <v>4.0555000000000008E-2</v>
      </c>
      <c r="H11" t="str">
        <f t="shared" si="0"/>
        <v>0,04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40"/>
      <c r="P11" s="241">
        <f t="shared" si="4"/>
        <v>0.03</v>
      </c>
      <c r="Q11" s="241">
        <f t="shared" si="5"/>
        <v>0.03</v>
      </c>
      <c r="R11" s="244"/>
      <c r="S11" s="238">
        <f t="shared" si="7"/>
        <v>40</v>
      </c>
      <c r="T11" s="244"/>
      <c r="U11" s="242" t="str">
        <f t="shared" si="6"/>
        <v>&lt;0,04</v>
      </c>
      <c r="V11" s="243"/>
    </row>
    <row r="12" spans="1:22" ht="18.399999999999999" customHeight="1" x14ac:dyDescent="0.25">
      <c r="A12" s="1" t="str">
        <f>Minták!W10</f>
        <v>6/IV-Eouypz</v>
      </c>
      <c r="B12" s="229"/>
      <c r="C12" s="4">
        <f t="shared" si="3"/>
        <v>6.0000000000000005E-2</v>
      </c>
      <c r="D12" s="223">
        <f t="shared" si="1"/>
        <v>6.0000000000000005E-2</v>
      </c>
      <c r="E12" s="4">
        <v>1</v>
      </c>
      <c r="F12" s="223"/>
      <c r="G12" s="224">
        <f t="shared" si="2"/>
        <v>4.8666000000000008E-2</v>
      </c>
      <c r="H12" t="str">
        <f t="shared" si="0"/>
        <v>0,05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40"/>
      <c r="P12" s="241">
        <f t="shared" si="4"/>
        <v>0.04</v>
      </c>
      <c r="Q12" s="241">
        <f t="shared" si="5"/>
        <v>0.04</v>
      </c>
      <c r="R12" s="244"/>
      <c r="S12" s="238">
        <f t="shared" si="7"/>
        <v>40</v>
      </c>
      <c r="T12" s="244"/>
      <c r="U12" s="242" t="str">
        <f t="shared" si="6"/>
        <v>&lt;0,04</v>
      </c>
      <c r="V12" s="243"/>
    </row>
    <row r="13" spans="1:22" ht="18.399999999999999" customHeight="1" x14ac:dyDescent="0.25">
      <c r="A13" s="1" t="str">
        <f>Minták!W11</f>
        <v>7/IV-Rkohqy</v>
      </c>
      <c r="B13" s="229"/>
      <c r="C13" s="4">
        <f t="shared" si="3"/>
        <v>7.0000000000000007E-2</v>
      </c>
      <c r="D13" s="223">
        <f t="shared" si="1"/>
        <v>7.0000000000000007E-2</v>
      </c>
      <c r="E13" s="4">
        <v>1</v>
      </c>
      <c r="F13" s="223"/>
      <c r="G13" s="224">
        <f t="shared" si="2"/>
        <v>5.6777000000000008E-2</v>
      </c>
      <c r="H13" t="str">
        <f t="shared" si="0"/>
        <v>0,06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40"/>
      <c r="P13" s="241">
        <f t="shared" si="4"/>
        <v>0.05</v>
      </c>
      <c r="Q13" s="241">
        <f t="shared" si="5"/>
        <v>0.05</v>
      </c>
      <c r="R13" s="244"/>
      <c r="S13" s="238">
        <f t="shared" si="7"/>
        <v>40</v>
      </c>
      <c r="T13" s="244"/>
      <c r="U13" s="242" t="str">
        <f t="shared" si="6"/>
        <v>0,04</v>
      </c>
      <c r="V13" s="243"/>
    </row>
    <row r="14" spans="1:22" ht="18.399999999999999" customHeight="1" x14ac:dyDescent="0.25">
      <c r="A14" s="1" t="str">
        <f>Minták!W12</f>
        <v>8/IV-Vxhhmc</v>
      </c>
      <c r="B14" s="229"/>
      <c r="C14" s="4">
        <f t="shared" si="3"/>
        <v>0.08</v>
      </c>
      <c r="D14" s="223">
        <f t="shared" si="1"/>
        <v>0.08</v>
      </c>
      <c r="E14" s="4">
        <v>1</v>
      </c>
      <c r="F14" s="223"/>
      <c r="G14" s="224">
        <f t="shared" si="2"/>
        <v>6.4888000000000001E-2</v>
      </c>
      <c r="H14" t="str">
        <f t="shared" si="0"/>
        <v>0,06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40"/>
      <c r="P14" s="241">
        <f t="shared" si="4"/>
        <v>6.0000000000000005E-2</v>
      </c>
      <c r="Q14" s="241">
        <f t="shared" si="5"/>
        <v>6.0000000000000005E-2</v>
      </c>
      <c r="R14" s="244"/>
      <c r="S14" s="238">
        <f t="shared" si="7"/>
        <v>40</v>
      </c>
      <c r="T14" s="244"/>
      <c r="U14" s="242" t="str">
        <f t="shared" si="6"/>
        <v>0,05</v>
      </c>
      <c r="V14" s="243"/>
    </row>
    <row r="15" spans="1:22" ht="18.399999999999999" customHeight="1" x14ac:dyDescent="0.25">
      <c r="A15" s="1" t="str">
        <f>Minták!W13</f>
        <v>9/IV-Msdxtl</v>
      </c>
      <c r="B15" s="229"/>
      <c r="C15" s="4">
        <f t="shared" si="3"/>
        <v>0.09</v>
      </c>
      <c r="D15" s="223">
        <f t="shared" si="1"/>
        <v>0.09</v>
      </c>
      <c r="E15" s="4">
        <v>1</v>
      </c>
      <c r="F15" s="223"/>
      <c r="G15" s="224">
        <f t="shared" si="2"/>
        <v>7.2998999999999994E-2</v>
      </c>
      <c r="H15" t="str">
        <f t="shared" si="0"/>
        <v>0,07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40"/>
      <c r="P15" s="241">
        <f t="shared" si="4"/>
        <v>7.0000000000000007E-2</v>
      </c>
      <c r="Q15" s="241">
        <f t="shared" si="5"/>
        <v>7.0000000000000007E-2</v>
      </c>
      <c r="R15" s="244"/>
      <c r="S15" s="238">
        <f t="shared" si="7"/>
        <v>40</v>
      </c>
      <c r="T15" s="244"/>
      <c r="U15" s="242" t="str">
        <f t="shared" si="6"/>
        <v>0,06</v>
      </c>
      <c r="V15" s="243"/>
    </row>
    <row r="16" spans="1:22" ht="18.399999999999999" customHeight="1" x14ac:dyDescent="0.25">
      <c r="A16" s="1" t="str">
        <f>Minták!W14</f>
        <v>10/IV-Qoldnt</v>
      </c>
      <c r="B16" s="229"/>
      <c r="C16" s="4">
        <f t="shared" si="3"/>
        <v>9.9999999999999992E-2</v>
      </c>
      <c r="D16" s="223">
        <f t="shared" si="1"/>
        <v>9.9999999999999992E-2</v>
      </c>
      <c r="E16" s="4">
        <v>1</v>
      </c>
      <c r="F16" s="223"/>
      <c r="G16" s="224">
        <f t="shared" si="2"/>
        <v>8.1110000000000002E-2</v>
      </c>
      <c r="H16" t="str">
        <f t="shared" si="0"/>
        <v>0,08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40"/>
      <c r="P16" s="241">
        <f t="shared" si="4"/>
        <v>0.08</v>
      </c>
      <c r="Q16" s="241">
        <f t="shared" si="5"/>
        <v>0.08</v>
      </c>
      <c r="R16" s="244"/>
      <c r="S16" s="238">
        <f t="shared" si="7"/>
        <v>40</v>
      </c>
      <c r="T16" s="244"/>
      <c r="U16" s="242" t="str">
        <f t="shared" si="6"/>
        <v>0,06</v>
      </c>
      <c r="V16" s="245"/>
    </row>
    <row r="17" spans="1:22" ht="18.399999999999999" customHeight="1" x14ac:dyDescent="0.25">
      <c r="A17" s="1" t="str">
        <f>Minták!W15</f>
        <v>11/IV-Qnvptf</v>
      </c>
      <c r="B17" s="229"/>
      <c r="C17" s="4">
        <f t="shared" si="3"/>
        <v>0.10999999999999999</v>
      </c>
      <c r="D17" s="223">
        <f t="shared" si="1"/>
        <v>0.10999999999999999</v>
      </c>
      <c r="E17" s="4">
        <v>1</v>
      </c>
      <c r="F17" s="223"/>
      <c r="G17" s="224">
        <f t="shared" si="2"/>
        <v>8.9220999999999995E-2</v>
      </c>
      <c r="H17" t="str">
        <f t="shared" si="0"/>
        <v>0,09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40"/>
      <c r="P17" s="241">
        <f t="shared" si="4"/>
        <v>0.09</v>
      </c>
      <c r="Q17" s="241">
        <f t="shared" si="5"/>
        <v>0.09</v>
      </c>
      <c r="R17" s="244"/>
      <c r="S17" s="238">
        <f t="shared" si="7"/>
        <v>40</v>
      </c>
      <c r="T17" s="244"/>
      <c r="U17" s="242" t="str">
        <f t="shared" si="6"/>
        <v>0,07</v>
      </c>
      <c r="V17" s="245"/>
    </row>
    <row r="18" spans="1:22" ht="18.399999999999999" customHeight="1" x14ac:dyDescent="0.25">
      <c r="A18" s="1" t="str">
        <f>Minták!W16</f>
        <v>12/IV-Lebdoq</v>
      </c>
      <c r="B18" s="229"/>
      <c r="C18" s="4">
        <f t="shared" si="3"/>
        <v>0.11999999999999998</v>
      </c>
      <c r="D18" s="223">
        <f t="shared" si="1"/>
        <v>0.11999999999999998</v>
      </c>
      <c r="E18" s="4">
        <v>1</v>
      </c>
      <c r="F18" s="223"/>
      <c r="G18" s="224">
        <f t="shared" si="2"/>
        <v>9.7331999999999988E-2</v>
      </c>
      <c r="H18" t="str">
        <f t="shared" si="0"/>
        <v>0,10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40"/>
      <c r="P18" s="241">
        <f t="shared" si="4"/>
        <v>9.9999999999999992E-2</v>
      </c>
      <c r="Q18" s="241">
        <f t="shared" si="5"/>
        <v>9.9999999999999992E-2</v>
      </c>
      <c r="R18" s="244"/>
      <c r="S18" s="238">
        <f t="shared" si="7"/>
        <v>40</v>
      </c>
      <c r="T18" s="244"/>
      <c r="U18" s="242" t="str">
        <f t="shared" si="6"/>
        <v>0,08</v>
      </c>
      <c r="V18" s="243"/>
    </row>
    <row r="19" spans="1:22" ht="18.399999999999999" customHeight="1" x14ac:dyDescent="0.25">
      <c r="A19" s="1" t="str">
        <f>Minták!W17</f>
        <v>13/IV-Askfua</v>
      </c>
      <c r="B19" s="229"/>
      <c r="C19" s="4">
        <f t="shared" si="3"/>
        <v>0.12999999999999998</v>
      </c>
      <c r="D19" s="223">
        <f t="shared" si="1"/>
        <v>0.12999999999999998</v>
      </c>
      <c r="E19" s="4">
        <v>1</v>
      </c>
      <c r="F19" s="223"/>
      <c r="G19" s="224">
        <f t="shared" si="2"/>
        <v>0.10544299999999998</v>
      </c>
      <c r="H19" t="str">
        <f t="shared" si="0"/>
        <v>0,11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40"/>
      <c r="P19" s="241">
        <f t="shared" si="4"/>
        <v>0.10999999999999999</v>
      </c>
      <c r="Q19" s="241">
        <f t="shared" si="5"/>
        <v>0.10999999999999999</v>
      </c>
      <c r="R19" s="244"/>
      <c r="S19" s="238">
        <f t="shared" si="7"/>
        <v>40</v>
      </c>
      <c r="T19" s="244"/>
      <c r="U19" s="242" t="str">
        <f t="shared" si="6"/>
        <v>0,09</v>
      </c>
      <c r="V19" s="243"/>
    </row>
    <row r="20" spans="1:22" ht="18.399999999999999" customHeight="1" x14ac:dyDescent="0.25">
      <c r="A20" s="1" t="str">
        <f>Minták!W18</f>
        <v>14/IV-Mcsjny</v>
      </c>
      <c r="B20" s="229"/>
      <c r="C20" s="4">
        <f t="shared" si="3"/>
        <v>0.13999999999999999</v>
      </c>
      <c r="D20" s="223">
        <f t="shared" si="1"/>
        <v>0.13999999999999999</v>
      </c>
      <c r="E20" s="4">
        <v>1</v>
      </c>
      <c r="F20" s="223"/>
      <c r="G20" s="224">
        <f t="shared" si="2"/>
        <v>0.11355399999999999</v>
      </c>
      <c r="H20" t="str">
        <f t="shared" si="0"/>
        <v>0,11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40"/>
      <c r="P20" s="241">
        <f t="shared" si="4"/>
        <v>0.11999999999999998</v>
      </c>
      <c r="Q20" s="241">
        <f t="shared" si="5"/>
        <v>0.11999999999999998</v>
      </c>
      <c r="R20" s="244"/>
      <c r="S20" s="238">
        <f t="shared" si="7"/>
        <v>40</v>
      </c>
      <c r="T20" s="244"/>
      <c r="U20" s="242" t="str">
        <f t="shared" si="6"/>
        <v>0,10</v>
      </c>
      <c r="V20" s="245"/>
    </row>
    <row r="21" spans="1:22" ht="18.399999999999999" customHeight="1" x14ac:dyDescent="0.25">
      <c r="A21" s="1" t="str">
        <f>Minták!W19</f>
        <v>15/IV-Rskdom</v>
      </c>
      <c r="B21" s="229"/>
      <c r="C21" s="4">
        <f t="shared" si="3"/>
        <v>0.15</v>
      </c>
      <c r="D21" s="223">
        <f t="shared" si="1"/>
        <v>0.15</v>
      </c>
      <c r="E21" s="4">
        <v>1</v>
      </c>
      <c r="F21" s="223"/>
      <c r="G21" s="224">
        <f t="shared" si="2"/>
        <v>0.121665</v>
      </c>
      <c r="H21" t="str">
        <f t="shared" si="0"/>
        <v>0,12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40"/>
      <c r="P21" s="241">
        <f t="shared" si="4"/>
        <v>0.12999999999999998</v>
      </c>
      <c r="Q21" s="241">
        <f t="shared" si="5"/>
        <v>0.12999999999999998</v>
      </c>
      <c r="R21" s="244"/>
      <c r="S21" s="238">
        <f t="shared" si="7"/>
        <v>40</v>
      </c>
      <c r="T21" s="244"/>
      <c r="U21" s="242" t="str">
        <f t="shared" si="6"/>
        <v>0,11</v>
      </c>
      <c r="V21" s="245"/>
    </row>
    <row r="22" spans="1:22" ht="18.399999999999999" customHeight="1" x14ac:dyDescent="0.25">
      <c r="A22" s="1" t="str">
        <f>Minták!W20</f>
        <v>16/IV-Jyhjzbmb</v>
      </c>
      <c r="B22" s="229"/>
      <c r="C22" s="4">
        <f t="shared" si="3"/>
        <v>0.16</v>
      </c>
      <c r="D22" s="223">
        <f t="shared" si="1"/>
        <v>0.16</v>
      </c>
      <c r="E22" s="4">
        <v>1</v>
      </c>
      <c r="F22" s="223"/>
      <c r="G22" s="224">
        <f t="shared" si="2"/>
        <v>0.129776</v>
      </c>
      <c r="H22" t="str">
        <f t="shared" si="0"/>
        <v>0,13</v>
      </c>
      <c r="I22" s="52"/>
      <c r="J22" s="52"/>
      <c r="K22" s="52"/>
      <c r="L22" s="237" t="str">
        <f>IF(Minták!D18="","",Minták!D18)</f>
        <v>14/IV</v>
      </c>
      <c r="M22" s="244"/>
      <c r="N22" s="246" t="str">
        <f>IF(Minták!H18="","",Minták!H18)</f>
        <v>Mcsjny</v>
      </c>
      <c r="O22" s="240"/>
      <c r="P22" s="241">
        <f t="shared" si="4"/>
        <v>0.13999999999999999</v>
      </c>
      <c r="Q22" s="241">
        <f t="shared" si="5"/>
        <v>0.13999999999999999</v>
      </c>
      <c r="R22" s="244"/>
      <c r="S22" s="238">
        <f t="shared" si="7"/>
        <v>40</v>
      </c>
      <c r="T22" s="244"/>
      <c r="U22" s="242" t="str">
        <f t="shared" si="6"/>
        <v>0,11</v>
      </c>
      <c r="V22" s="243"/>
    </row>
    <row r="23" spans="1:22" ht="18.399999999999999" customHeight="1" x14ac:dyDescent="0.25">
      <c r="A23" s="18" t="s">
        <v>16</v>
      </c>
      <c r="B23" s="229"/>
      <c r="C23" s="4">
        <f t="shared" si="3"/>
        <v>0.17</v>
      </c>
      <c r="D23" s="223">
        <f t="shared" si="1"/>
        <v>0.17</v>
      </c>
      <c r="E23" s="4">
        <v>1</v>
      </c>
      <c r="F23" s="223"/>
      <c r="G23" s="224">
        <f t="shared" si="2"/>
        <v>0.13788700000000001</v>
      </c>
      <c r="H23" s="52">
        <f>ROUND(((G23*100)/VLOOKUP(A23,$D$30:$F$32,3,FALSE)),1)</f>
        <v>137.9</v>
      </c>
      <c r="I23" s="247" t="s">
        <v>15</v>
      </c>
      <c r="J23" s="247"/>
      <c r="K23" s="247"/>
      <c r="L23" s="237" t="str">
        <f>IF(Minták!D19="","",Minták!D19)</f>
        <v>15/IV</v>
      </c>
      <c r="M23" s="244"/>
      <c r="N23" s="246" t="str">
        <f>IF(Minták!H19="","",Minták!H19)</f>
        <v>Rskdom</v>
      </c>
      <c r="O23" s="240"/>
      <c r="P23" s="241">
        <f t="shared" si="4"/>
        <v>0.15</v>
      </c>
      <c r="Q23" s="241">
        <f t="shared" si="5"/>
        <v>0.15</v>
      </c>
      <c r="R23" s="244"/>
      <c r="S23" s="238">
        <f t="shared" si="7"/>
        <v>40</v>
      </c>
      <c r="T23" s="244"/>
      <c r="U23" s="242" t="str">
        <f t="shared" si="6"/>
        <v>0,12</v>
      </c>
      <c r="V23" s="243"/>
    </row>
    <row r="24" spans="1:22" ht="18.399999999999999" customHeight="1" x14ac:dyDescent="0.25">
      <c r="A24" s="18" t="s">
        <v>131</v>
      </c>
      <c r="B24" s="67"/>
      <c r="C24" s="4">
        <f t="shared" si="3"/>
        <v>0.18000000000000002</v>
      </c>
      <c r="D24" s="223">
        <f t="shared" si="1"/>
        <v>0.18000000000000002</v>
      </c>
      <c r="E24" s="4">
        <v>1</v>
      </c>
      <c r="F24" s="223"/>
      <c r="G24" s="224">
        <f t="shared" si="2"/>
        <v>0.14599800000000002</v>
      </c>
      <c r="H24" s="52">
        <f>ROUND(((G24*100)/VLOOKUP(A24,$D$30:$F$32,3,FALSE)),1)</f>
        <v>29.2</v>
      </c>
      <c r="I24" s="248" t="s">
        <v>15</v>
      </c>
      <c r="J24" s="248"/>
      <c r="K24" s="248"/>
      <c r="L24" s="237" t="str">
        <f>IF(Minták!D20="","",Minták!D20)</f>
        <v>16/IV</v>
      </c>
      <c r="M24" s="249"/>
      <c r="N24" s="250" t="str">
        <f>IF(Minták!H20="","",Minták!H20)</f>
        <v>Jyhjzbmb</v>
      </c>
      <c r="O24" s="251"/>
      <c r="P24" s="241">
        <f t="shared" si="4"/>
        <v>0.16</v>
      </c>
      <c r="Q24" s="241">
        <f t="shared" si="5"/>
        <v>0.16</v>
      </c>
      <c r="R24" s="249"/>
      <c r="S24" s="238">
        <f t="shared" si="7"/>
        <v>40</v>
      </c>
      <c r="T24" s="249"/>
      <c r="U24" s="242" t="str">
        <f t="shared" si="6"/>
        <v>0,13</v>
      </c>
      <c r="V24" s="252"/>
    </row>
    <row r="25" spans="1:22" ht="18.399999999999999" customHeight="1" x14ac:dyDescent="0.25">
      <c r="L25" s="253"/>
      <c r="M25" s="249"/>
      <c r="N25" s="249" t="str">
        <f>A23</f>
        <v>QC1 (0,1)</v>
      </c>
      <c r="O25" s="251"/>
      <c r="P25" s="251">
        <f>C23</f>
        <v>0.17</v>
      </c>
      <c r="Q25" s="241">
        <f t="shared" si="5"/>
        <v>0.17</v>
      </c>
      <c r="R25" s="249"/>
      <c r="S25" s="238">
        <f t="shared" si="7"/>
        <v>40</v>
      </c>
      <c r="T25" s="249"/>
      <c r="U25" s="242">
        <f>IF($A23="-","",IFERROR(G23,"-"))</f>
        <v>0.13788700000000001</v>
      </c>
      <c r="V25" s="252" t="str">
        <f>CONCATENATE(ROUND(H23,1),"%")</f>
        <v>137,9%</v>
      </c>
    </row>
    <row r="26" spans="1:22" ht="18.399999999999999" customHeight="1" thickBot="1" x14ac:dyDescent="0.3">
      <c r="L26" s="254"/>
      <c r="M26" s="255"/>
      <c r="N26" s="255" t="str">
        <f>A24</f>
        <v>QC2 (0,5)</v>
      </c>
      <c r="O26" s="256"/>
      <c r="P26" s="256">
        <f>C24</f>
        <v>0.18000000000000002</v>
      </c>
      <c r="Q26" s="257">
        <f t="shared" si="5"/>
        <v>0.18000000000000002</v>
      </c>
      <c r="R26" s="255"/>
      <c r="S26" s="258">
        <f t="shared" si="7"/>
        <v>40</v>
      </c>
      <c r="T26" s="255"/>
      <c r="U26" s="259">
        <f>IF($A24="-","",IFERROR(G24,"-"))</f>
        <v>0.14599800000000002</v>
      </c>
      <c r="V26" s="214" t="str">
        <f>CONCATENATE(ROUND(H24,1),"%")</f>
        <v>29,2%</v>
      </c>
    </row>
    <row r="29" spans="1:22" ht="18.399999999999999" customHeight="1" x14ac:dyDescent="0.25">
      <c r="A29" t="s">
        <v>24</v>
      </c>
      <c r="D29" t="s">
        <v>85</v>
      </c>
      <c r="F29" t="s">
        <v>87</v>
      </c>
      <c r="R29" s="15" t="s">
        <v>38</v>
      </c>
    </row>
    <row r="30" spans="1:22" ht="18.399999999999999" customHeight="1" x14ac:dyDescent="0.25">
      <c r="A30" s="9" t="s">
        <v>44</v>
      </c>
      <c r="D30" s="1" t="str">
        <f>Minták!DW4</f>
        <v>QC1 (0,1)</v>
      </c>
      <c r="F30" s="1">
        <f>Minták!DX4</f>
        <v>0.1</v>
      </c>
    </row>
    <row r="31" spans="1:22" ht="18.399999999999999" customHeight="1" x14ac:dyDescent="0.25">
      <c r="A31" t="s">
        <v>36</v>
      </c>
      <c r="D31" s="1" t="str">
        <f>Minták!DY4</f>
        <v>QC2 (0,5)</v>
      </c>
      <c r="F31" s="1">
        <f>Minták!DZ4</f>
        <v>0.5</v>
      </c>
    </row>
    <row r="32" spans="1:22" ht="18.399999999999999" customHeight="1" x14ac:dyDescent="0.25">
      <c r="A32" s="1">
        <f>Minták!DS4</f>
        <v>2</v>
      </c>
      <c r="B32" t="s">
        <v>37</v>
      </c>
      <c r="D32" s="1" t="str">
        <f>Minták!EA4</f>
        <v>QC3 (1)</v>
      </c>
      <c r="F32" s="1">
        <f>Minták!EB4</f>
        <v>1</v>
      </c>
    </row>
    <row r="33" spans="1:2" ht="18.399999999999999" customHeight="1" x14ac:dyDescent="0.25">
      <c r="A33" t="s">
        <v>54</v>
      </c>
      <c r="B33" s="260" t="str">
        <f>Minták!DU4</f>
        <v>0,04</v>
      </c>
    </row>
    <row r="34" spans="1:2" ht="18.399999999999999" customHeight="1" x14ac:dyDescent="0.25">
      <c r="A34" t="s">
        <v>55</v>
      </c>
      <c r="B34" s="1" t="str">
        <f>Minták!DV4</f>
        <v>képlet</v>
      </c>
    </row>
    <row r="35" spans="1:2" ht="18.399999999999999" customHeight="1" x14ac:dyDescent="0.25">
      <c r="A35" t="s">
        <v>135</v>
      </c>
      <c r="B35" s="1">
        <f>Minták!DT4</f>
        <v>40</v>
      </c>
    </row>
  </sheetData>
  <sheetProtection algorithmName="SHA-512" hashValue="dIByWNrAniP8jHN/j/N8QB/JbhBQfsDmZrBSiCCuLpgxGZAvJJsFPMMXpORWGx1bKqeg4elOvU1pTfOjaGjh2g==" saltValue="vKkYZfX5rby1nWBbIYOTfw==" spinCount="100000" sheet="1" objects="1" scenarios="1"/>
  <mergeCells count="17">
    <mergeCell ref="T6:T8"/>
    <mergeCell ref="V6:V8"/>
    <mergeCell ref="B3:B6"/>
    <mergeCell ref="C3:C6"/>
    <mergeCell ref="D3:D6"/>
    <mergeCell ref="E3:E6"/>
    <mergeCell ref="F3:F6"/>
    <mergeCell ref="G3:G6"/>
    <mergeCell ref="L1:M4"/>
    <mergeCell ref="N1:U4"/>
    <mergeCell ref="A1:G2"/>
    <mergeCell ref="L6:L8"/>
    <mergeCell ref="M6:M8"/>
    <mergeCell ref="N6:N8"/>
    <mergeCell ref="O6:Q7"/>
    <mergeCell ref="A3:A6"/>
    <mergeCell ref="S6:S8"/>
  </mergeCells>
  <pageMargins left="0.7" right="0.7" top="0.75" bottom="0.75" header="0.3" footer="0.3"/>
  <pageSetup paperSize="9" scale="9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3">
    <pageSetUpPr fitToPage="1"/>
  </sheetPr>
  <dimension ref="A1:V35"/>
  <sheetViews>
    <sheetView zoomScaleNormal="100" workbookViewId="0">
      <selection activeCell="E7" sqref="E7:E24"/>
    </sheetView>
  </sheetViews>
  <sheetFormatPr defaultColWidth="9.140625" defaultRowHeight="18.399999999999999" customHeight="1" x14ac:dyDescent="0.25"/>
  <cols>
    <col min="1" max="1" width="33" customWidth="1"/>
    <col min="7" max="7" width="18.7109375" customWidth="1"/>
    <col min="12" max="12" width="9.140625" style="82"/>
    <col min="13" max="13" width="13.85546875" style="82" customWidth="1"/>
    <col min="14" max="14" width="27.5703125" style="82" customWidth="1"/>
    <col min="15" max="18" width="9.140625" style="82"/>
    <col min="19" max="19" width="11.85546875" style="82" customWidth="1"/>
    <col min="20" max="20" width="9.140625" style="82"/>
    <col min="21" max="21" width="17.5703125" style="82" customWidth="1"/>
    <col min="22" max="22" width="19.7109375" style="82" customWidth="1"/>
  </cols>
  <sheetData>
    <row r="1" spans="1:22" ht="18.399999999999999" customHeight="1" x14ac:dyDescent="0.25">
      <c r="A1" s="529" t="s">
        <v>11</v>
      </c>
      <c r="B1" s="529"/>
      <c r="C1" s="529"/>
      <c r="D1" s="529"/>
      <c r="E1" s="529"/>
      <c r="F1" s="529"/>
      <c r="G1" s="529"/>
      <c r="L1" s="438" t="s">
        <v>319</v>
      </c>
      <c r="M1" s="690"/>
      <c r="N1" s="695" t="s">
        <v>345</v>
      </c>
      <c r="O1" s="696"/>
      <c r="P1" s="696"/>
      <c r="Q1" s="696"/>
      <c r="R1" s="696"/>
      <c r="S1" s="696"/>
      <c r="T1" s="696"/>
      <c r="U1" s="697"/>
      <c r="V1" s="219" t="s">
        <v>335</v>
      </c>
    </row>
    <row r="2" spans="1:22" ht="18.399999999999999" customHeight="1" thickBot="1" x14ac:dyDescent="0.3">
      <c r="A2" s="529"/>
      <c r="B2" s="529"/>
      <c r="C2" s="529"/>
      <c r="D2" s="529"/>
      <c r="E2" s="529"/>
      <c r="F2" s="529"/>
      <c r="G2" s="529"/>
      <c r="L2" s="691"/>
      <c r="M2" s="692"/>
      <c r="N2" s="698"/>
      <c r="O2" s="699"/>
      <c r="P2" s="699"/>
      <c r="Q2" s="699"/>
      <c r="R2" s="699"/>
      <c r="S2" s="699"/>
      <c r="T2" s="699"/>
      <c r="U2" s="700"/>
      <c r="V2" s="220" t="s">
        <v>320</v>
      </c>
    </row>
    <row r="3" spans="1:22" ht="18.399999999999999" customHeight="1" x14ac:dyDescent="0.25">
      <c r="A3" s="507" t="s">
        <v>2</v>
      </c>
      <c r="B3" s="507" t="s">
        <v>4</v>
      </c>
      <c r="C3" s="507" t="s">
        <v>10</v>
      </c>
      <c r="D3" s="507" t="s">
        <v>0</v>
      </c>
      <c r="E3" s="507" t="s">
        <v>1</v>
      </c>
      <c r="F3" s="507" t="s">
        <v>5</v>
      </c>
      <c r="G3" s="507" t="s">
        <v>13</v>
      </c>
      <c r="L3" s="691"/>
      <c r="M3" s="692"/>
      <c r="N3" s="698"/>
      <c r="O3" s="699"/>
      <c r="P3" s="699"/>
      <c r="Q3" s="699"/>
      <c r="R3" s="699"/>
      <c r="S3" s="699"/>
      <c r="T3" s="699"/>
      <c r="U3" s="700"/>
      <c r="V3" s="220" t="s">
        <v>706</v>
      </c>
    </row>
    <row r="4" spans="1:22" ht="18.399999999999999" customHeight="1" x14ac:dyDescent="0.25">
      <c r="A4" s="508"/>
      <c r="B4" s="508"/>
      <c r="C4" s="508"/>
      <c r="D4" s="508"/>
      <c r="E4" s="508"/>
      <c r="F4" s="508"/>
      <c r="G4" s="508"/>
      <c r="L4" s="693"/>
      <c r="M4" s="694"/>
      <c r="N4" s="701"/>
      <c r="O4" s="702"/>
      <c r="P4" s="702"/>
      <c r="Q4" s="702"/>
      <c r="R4" s="702"/>
      <c r="S4" s="702"/>
      <c r="T4" s="702"/>
      <c r="U4" s="703"/>
      <c r="V4" s="221" t="s">
        <v>324</v>
      </c>
    </row>
    <row r="5" spans="1:22" ht="18.399999999999999" customHeight="1" thickBot="1" x14ac:dyDescent="0.3">
      <c r="A5" s="508"/>
      <c r="B5" s="508"/>
      <c r="C5" s="508"/>
      <c r="D5" s="508"/>
      <c r="E5" s="508"/>
      <c r="F5" s="508"/>
      <c r="G5" s="508"/>
    </row>
    <row r="6" spans="1:22" ht="18.399999999999999" customHeight="1" x14ac:dyDescent="0.25">
      <c r="A6" s="509"/>
      <c r="B6" s="508"/>
      <c r="C6" s="508"/>
      <c r="D6" s="508"/>
      <c r="E6" s="508"/>
      <c r="F6" s="508"/>
      <c r="G6" s="508"/>
      <c r="L6" s="688" t="s">
        <v>25</v>
      </c>
      <c r="M6" s="704" t="s">
        <v>26</v>
      </c>
      <c r="N6" s="707" t="s">
        <v>27</v>
      </c>
      <c r="O6" s="710" t="s">
        <v>28</v>
      </c>
      <c r="P6" s="711"/>
      <c r="Q6" s="712"/>
      <c r="R6" s="222" t="s">
        <v>29</v>
      </c>
      <c r="S6" s="688" t="s">
        <v>134</v>
      </c>
      <c r="T6" s="688" t="s">
        <v>5</v>
      </c>
      <c r="U6" s="222" t="s">
        <v>245</v>
      </c>
      <c r="V6" s="688" t="s">
        <v>32</v>
      </c>
    </row>
    <row r="7" spans="1:22" ht="18.399999999999999" customHeight="1" thickBot="1" x14ac:dyDescent="0.3">
      <c r="A7" s="1" t="str">
        <f>Minták!W5</f>
        <v>1/IV-Nhhlz</v>
      </c>
      <c r="B7" s="6">
        <v>0</v>
      </c>
      <c r="C7" s="4">
        <v>0.01</v>
      </c>
      <c r="D7" s="261">
        <f>C7-$B$7</f>
        <v>0.01</v>
      </c>
      <c r="E7" s="4">
        <v>1</v>
      </c>
      <c r="F7" s="19">
        <v>24.9</v>
      </c>
      <c r="G7" s="262">
        <f>D7*E7*$F$7</f>
        <v>0.249</v>
      </c>
      <c r="H7" t="str">
        <f t="shared" ref="H7:H22" si="0">IFERROR(IF(G7&lt;VALUE(B$33),CONCATENATE("&lt;",B$33),IF(G7&lt;10,FIXED(G7,2),IF(G7&lt;100,FIXED(G7,1),IF(G7&lt;1000,FIXED(G7,0),FIXED(G7,-1))))),"-")</f>
        <v>&lt;1,00</v>
      </c>
      <c r="L7" s="689"/>
      <c r="M7" s="705"/>
      <c r="N7" s="708"/>
      <c r="O7" s="713"/>
      <c r="P7" s="714"/>
      <c r="Q7" s="715"/>
      <c r="R7" s="225" t="s">
        <v>30</v>
      </c>
      <c r="S7" s="689"/>
      <c r="T7" s="689"/>
      <c r="U7" s="226" t="s">
        <v>31</v>
      </c>
      <c r="V7" s="689"/>
    </row>
    <row r="8" spans="1:22" ht="18.399999999999999" customHeight="1" thickBot="1" x14ac:dyDescent="0.3">
      <c r="A8" s="1" t="str">
        <f>Minták!W6</f>
        <v>2/IV-ADATOT BEÍRNI</v>
      </c>
      <c r="B8" s="147"/>
      <c r="C8" s="4">
        <f>C7+0.01</f>
        <v>0.02</v>
      </c>
      <c r="D8" s="261">
        <f t="shared" ref="D8:D24" si="1">C8-$B$7</f>
        <v>0.02</v>
      </c>
      <c r="E8" s="4">
        <v>1</v>
      </c>
      <c r="F8" s="223"/>
      <c r="G8" s="262">
        <f t="shared" ref="G8:G24" si="2">D8*E8*$F$7</f>
        <v>0.498</v>
      </c>
      <c r="H8" t="str">
        <f t="shared" si="0"/>
        <v>&lt;1,00</v>
      </c>
      <c r="L8" s="716"/>
      <c r="M8" s="706"/>
      <c r="N8" s="709"/>
      <c r="O8" s="222" t="s">
        <v>33</v>
      </c>
      <c r="P8" s="222" t="s">
        <v>34</v>
      </c>
      <c r="Q8" s="222" t="s">
        <v>35</v>
      </c>
      <c r="R8" s="227"/>
      <c r="S8" s="689"/>
      <c r="T8" s="689"/>
      <c r="U8" s="228" t="s">
        <v>137</v>
      </c>
      <c r="V8" s="689"/>
    </row>
    <row r="9" spans="1:22" ht="18.399999999999999" customHeight="1" x14ac:dyDescent="0.25">
      <c r="A9" s="1" t="str">
        <f>Minták!W7</f>
        <v>3/KIV-ADATOT BEÍRNI</v>
      </c>
      <c r="B9" s="229"/>
      <c r="C9" s="4">
        <f t="shared" ref="C9:C24" si="3">C8+0.01</f>
        <v>0.03</v>
      </c>
      <c r="D9" s="261">
        <f t="shared" si="1"/>
        <v>0.03</v>
      </c>
      <c r="E9" s="4">
        <v>1</v>
      </c>
      <c r="F9" s="223"/>
      <c r="G9" s="262">
        <f t="shared" si="2"/>
        <v>0.74699999999999989</v>
      </c>
      <c r="H9" t="str">
        <f t="shared" si="0"/>
        <v>&lt;1,00</v>
      </c>
      <c r="L9" s="230" t="str">
        <f>IF(Minták!D5="","",Minták!D5)</f>
        <v>1/IV</v>
      </c>
      <c r="M9" s="263" t="str">
        <f>A30</f>
        <v>-</v>
      </c>
      <c r="N9" s="232" t="str">
        <f>IF(Minták!H5="","",Minták!H5)</f>
        <v>Nhhlz</v>
      </c>
      <c r="O9" s="233">
        <f>B7</f>
        <v>0</v>
      </c>
      <c r="P9" s="233">
        <f t="shared" ref="P9:P26" si="4">IF($A7="-","",C7)</f>
        <v>0.01</v>
      </c>
      <c r="Q9" s="233">
        <f t="shared" ref="Q9:Q26" si="5">IF($A7="-","",IFERROR(D7,"-"))</f>
        <v>0.01</v>
      </c>
      <c r="R9" s="234">
        <f>A32</f>
        <v>2</v>
      </c>
      <c r="S9" s="234">
        <f>IFERROR(IF($A7="-","",B$35/E7),"-")</f>
        <v>5</v>
      </c>
      <c r="T9" s="234">
        <f>F7</f>
        <v>24.9</v>
      </c>
      <c r="U9" s="264" t="str">
        <f t="shared" ref="U9:U24" si="6">H7</f>
        <v>&lt;1,00</v>
      </c>
      <c r="V9" s="236"/>
    </row>
    <row r="10" spans="1:22" ht="18.399999999999999" customHeight="1" x14ac:dyDescent="0.25">
      <c r="A10" s="1" t="str">
        <f>Minták!W8</f>
        <v>4/IV-Ebnxscqc</v>
      </c>
      <c r="B10" s="229"/>
      <c r="C10" s="4">
        <f t="shared" si="3"/>
        <v>0.04</v>
      </c>
      <c r="D10" s="261">
        <f t="shared" si="1"/>
        <v>0.04</v>
      </c>
      <c r="E10" s="4">
        <v>1</v>
      </c>
      <c r="F10" s="223"/>
      <c r="G10" s="262">
        <f t="shared" si="2"/>
        <v>0.996</v>
      </c>
      <c r="H10" t="str">
        <f t="shared" si="0"/>
        <v>&lt;1,00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40"/>
      <c r="P10" s="241">
        <f t="shared" si="4"/>
        <v>0.02</v>
      </c>
      <c r="Q10" s="241">
        <f t="shared" si="5"/>
        <v>0.02</v>
      </c>
      <c r="R10" s="238"/>
      <c r="S10" s="238">
        <f t="shared" ref="S10:S26" si="7">IFERROR(IF($A8="-","",B$35/E8),"-")</f>
        <v>5</v>
      </c>
      <c r="T10" s="238"/>
      <c r="U10" s="265" t="str">
        <f t="shared" si="6"/>
        <v>&lt;1,00</v>
      </c>
      <c r="V10" s="243"/>
    </row>
    <row r="11" spans="1:22" ht="18.399999999999999" customHeight="1" x14ac:dyDescent="0.25">
      <c r="A11" s="1" t="str">
        <f>Minták!W9</f>
        <v>5/IV-Ubqpva</v>
      </c>
      <c r="B11" s="229"/>
      <c r="C11" s="4">
        <f t="shared" si="3"/>
        <v>0.05</v>
      </c>
      <c r="D11" s="261">
        <f t="shared" si="1"/>
        <v>0.05</v>
      </c>
      <c r="E11" s="4">
        <v>1</v>
      </c>
      <c r="F11" s="223"/>
      <c r="G11" s="262">
        <f t="shared" si="2"/>
        <v>1.2450000000000001</v>
      </c>
      <c r="H11" t="str">
        <f t="shared" si="0"/>
        <v>1,25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40"/>
      <c r="P11" s="241">
        <f t="shared" si="4"/>
        <v>0.03</v>
      </c>
      <c r="Q11" s="241">
        <f t="shared" si="5"/>
        <v>0.03</v>
      </c>
      <c r="R11" s="244"/>
      <c r="S11" s="238">
        <f t="shared" si="7"/>
        <v>5</v>
      </c>
      <c r="T11" s="244"/>
      <c r="U11" s="265" t="str">
        <f t="shared" si="6"/>
        <v>&lt;1,00</v>
      </c>
      <c r="V11" s="243"/>
    </row>
    <row r="12" spans="1:22" ht="18.399999999999999" customHeight="1" x14ac:dyDescent="0.25">
      <c r="A12" s="1" t="str">
        <f>Minták!W10</f>
        <v>6/IV-Eouypz</v>
      </c>
      <c r="B12" s="229"/>
      <c r="C12" s="4">
        <f t="shared" si="3"/>
        <v>6.0000000000000005E-2</v>
      </c>
      <c r="D12" s="261">
        <f t="shared" si="1"/>
        <v>6.0000000000000005E-2</v>
      </c>
      <c r="E12" s="4">
        <v>1</v>
      </c>
      <c r="F12" s="223"/>
      <c r="G12" s="262">
        <f t="shared" si="2"/>
        <v>1.494</v>
      </c>
      <c r="H12" t="str">
        <f t="shared" si="0"/>
        <v>1,49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40"/>
      <c r="P12" s="241">
        <f t="shared" si="4"/>
        <v>0.04</v>
      </c>
      <c r="Q12" s="241">
        <f t="shared" si="5"/>
        <v>0.04</v>
      </c>
      <c r="R12" s="244"/>
      <c r="S12" s="238">
        <f t="shared" si="7"/>
        <v>5</v>
      </c>
      <c r="T12" s="244"/>
      <c r="U12" s="265" t="str">
        <f t="shared" si="6"/>
        <v>&lt;1,00</v>
      </c>
      <c r="V12" s="243"/>
    </row>
    <row r="13" spans="1:22" ht="18.399999999999999" customHeight="1" x14ac:dyDescent="0.25">
      <c r="A13" s="1" t="str">
        <f>Minták!W11</f>
        <v>7/IV-Rkohqy</v>
      </c>
      <c r="B13" s="229"/>
      <c r="C13" s="4">
        <f t="shared" si="3"/>
        <v>7.0000000000000007E-2</v>
      </c>
      <c r="D13" s="261">
        <f t="shared" si="1"/>
        <v>7.0000000000000007E-2</v>
      </c>
      <c r="E13" s="4">
        <v>1</v>
      </c>
      <c r="F13" s="223"/>
      <c r="G13" s="262">
        <f t="shared" si="2"/>
        <v>1.7430000000000001</v>
      </c>
      <c r="H13" t="str">
        <f t="shared" si="0"/>
        <v>1,74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40"/>
      <c r="P13" s="241">
        <f t="shared" si="4"/>
        <v>0.05</v>
      </c>
      <c r="Q13" s="241">
        <f t="shared" si="5"/>
        <v>0.05</v>
      </c>
      <c r="R13" s="244"/>
      <c r="S13" s="238">
        <f t="shared" si="7"/>
        <v>5</v>
      </c>
      <c r="T13" s="244"/>
      <c r="U13" s="265" t="str">
        <f t="shared" si="6"/>
        <v>1,25</v>
      </c>
      <c r="V13" s="243"/>
    </row>
    <row r="14" spans="1:22" ht="18.399999999999999" customHeight="1" x14ac:dyDescent="0.25">
      <c r="A14" s="1" t="str">
        <f>Minták!W12</f>
        <v>8/IV-Vxhhmc</v>
      </c>
      <c r="B14" s="229"/>
      <c r="C14" s="4">
        <f t="shared" si="3"/>
        <v>0.08</v>
      </c>
      <c r="D14" s="261">
        <f t="shared" si="1"/>
        <v>0.08</v>
      </c>
      <c r="E14" s="4">
        <v>1</v>
      </c>
      <c r="F14" s="223"/>
      <c r="G14" s="262">
        <f t="shared" si="2"/>
        <v>1.992</v>
      </c>
      <c r="H14" t="str">
        <f t="shared" si="0"/>
        <v>1,99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40"/>
      <c r="P14" s="241">
        <f t="shared" si="4"/>
        <v>6.0000000000000005E-2</v>
      </c>
      <c r="Q14" s="241">
        <f t="shared" si="5"/>
        <v>6.0000000000000005E-2</v>
      </c>
      <c r="R14" s="244"/>
      <c r="S14" s="238">
        <f t="shared" si="7"/>
        <v>5</v>
      </c>
      <c r="T14" s="244"/>
      <c r="U14" s="265" t="str">
        <f t="shared" si="6"/>
        <v>1,49</v>
      </c>
      <c r="V14" s="243"/>
    </row>
    <row r="15" spans="1:22" ht="18.399999999999999" customHeight="1" x14ac:dyDescent="0.25">
      <c r="A15" s="1" t="str">
        <f>Minták!W13</f>
        <v>9/IV-Msdxtl</v>
      </c>
      <c r="B15" s="229"/>
      <c r="C15" s="4">
        <f t="shared" si="3"/>
        <v>0.09</v>
      </c>
      <c r="D15" s="261">
        <f t="shared" si="1"/>
        <v>0.09</v>
      </c>
      <c r="E15" s="4">
        <v>1</v>
      </c>
      <c r="F15" s="223"/>
      <c r="G15" s="262">
        <f t="shared" si="2"/>
        <v>2.2409999999999997</v>
      </c>
      <c r="H15" t="str">
        <f t="shared" si="0"/>
        <v>2,24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40"/>
      <c r="P15" s="241">
        <f t="shared" si="4"/>
        <v>7.0000000000000007E-2</v>
      </c>
      <c r="Q15" s="241">
        <f t="shared" si="5"/>
        <v>7.0000000000000007E-2</v>
      </c>
      <c r="R15" s="244"/>
      <c r="S15" s="238">
        <f t="shared" si="7"/>
        <v>5</v>
      </c>
      <c r="T15" s="244"/>
      <c r="U15" s="265" t="str">
        <f t="shared" si="6"/>
        <v>1,74</v>
      </c>
      <c r="V15" s="243"/>
    </row>
    <row r="16" spans="1:22" ht="18.399999999999999" customHeight="1" x14ac:dyDescent="0.25">
      <c r="A16" s="1" t="str">
        <f>Minták!W14</f>
        <v>10/IV-Qoldnt</v>
      </c>
      <c r="B16" s="229"/>
      <c r="C16" s="4">
        <f t="shared" si="3"/>
        <v>9.9999999999999992E-2</v>
      </c>
      <c r="D16" s="261">
        <f t="shared" si="1"/>
        <v>9.9999999999999992E-2</v>
      </c>
      <c r="E16" s="4">
        <v>1</v>
      </c>
      <c r="F16" s="223"/>
      <c r="G16" s="262">
        <f t="shared" si="2"/>
        <v>2.4899999999999998</v>
      </c>
      <c r="H16" t="str">
        <f t="shared" si="0"/>
        <v>2,49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40"/>
      <c r="P16" s="241">
        <f t="shared" si="4"/>
        <v>0.08</v>
      </c>
      <c r="Q16" s="241">
        <f t="shared" si="5"/>
        <v>0.08</v>
      </c>
      <c r="R16" s="244"/>
      <c r="S16" s="238">
        <f t="shared" si="7"/>
        <v>5</v>
      </c>
      <c r="T16" s="244"/>
      <c r="U16" s="265" t="str">
        <f t="shared" si="6"/>
        <v>1,99</v>
      </c>
      <c r="V16" s="245"/>
    </row>
    <row r="17" spans="1:22" ht="18.399999999999999" customHeight="1" x14ac:dyDescent="0.25">
      <c r="A17" s="1" t="str">
        <f>Minták!W15</f>
        <v>11/IV-Qnvptf</v>
      </c>
      <c r="B17" s="229"/>
      <c r="C17" s="4">
        <f t="shared" si="3"/>
        <v>0.10999999999999999</v>
      </c>
      <c r="D17" s="261">
        <f t="shared" si="1"/>
        <v>0.10999999999999999</v>
      </c>
      <c r="E17" s="4">
        <v>1</v>
      </c>
      <c r="F17" s="223"/>
      <c r="G17" s="262">
        <f t="shared" si="2"/>
        <v>2.7389999999999994</v>
      </c>
      <c r="H17" t="str">
        <f t="shared" si="0"/>
        <v>2,74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40"/>
      <c r="P17" s="241">
        <f t="shared" si="4"/>
        <v>0.09</v>
      </c>
      <c r="Q17" s="241">
        <f t="shared" si="5"/>
        <v>0.09</v>
      </c>
      <c r="R17" s="244"/>
      <c r="S17" s="238">
        <f t="shared" si="7"/>
        <v>5</v>
      </c>
      <c r="T17" s="244"/>
      <c r="U17" s="265" t="str">
        <f t="shared" si="6"/>
        <v>2,24</v>
      </c>
      <c r="V17" s="245"/>
    </row>
    <row r="18" spans="1:22" ht="18.399999999999999" customHeight="1" x14ac:dyDescent="0.25">
      <c r="A18" s="1" t="str">
        <f>Minták!W16</f>
        <v>12/IV-Lebdoq</v>
      </c>
      <c r="B18" s="229"/>
      <c r="C18" s="4">
        <f t="shared" si="3"/>
        <v>0.11999999999999998</v>
      </c>
      <c r="D18" s="261">
        <f t="shared" si="1"/>
        <v>0.11999999999999998</v>
      </c>
      <c r="E18" s="4">
        <v>1</v>
      </c>
      <c r="F18" s="223"/>
      <c r="G18" s="262">
        <f t="shared" si="2"/>
        <v>2.9879999999999995</v>
      </c>
      <c r="H18" t="str">
        <f t="shared" si="0"/>
        <v>2,99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40"/>
      <c r="P18" s="241">
        <f t="shared" si="4"/>
        <v>9.9999999999999992E-2</v>
      </c>
      <c r="Q18" s="241">
        <f t="shared" si="5"/>
        <v>9.9999999999999992E-2</v>
      </c>
      <c r="R18" s="244"/>
      <c r="S18" s="238">
        <f t="shared" si="7"/>
        <v>5</v>
      </c>
      <c r="T18" s="244"/>
      <c r="U18" s="265" t="str">
        <f t="shared" si="6"/>
        <v>2,49</v>
      </c>
      <c r="V18" s="243"/>
    </row>
    <row r="19" spans="1:22" ht="18.399999999999999" customHeight="1" x14ac:dyDescent="0.25">
      <c r="A19" s="1" t="str">
        <f>Minták!W17</f>
        <v>13/IV-Askfua</v>
      </c>
      <c r="B19" s="229"/>
      <c r="C19" s="4">
        <f t="shared" si="3"/>
        <v>0.12999999999999998</v>
      </c>
      <c r="D19" s="261">
        <f t="shared" si="1"/>
        <v>0.12999999999999998</v>
      </c>
      <c r="E19" s="4">
        <v>1</v>
      </c>
      <c r="F19" s="223"/>
      <c r="G19" s="262">
        <f t="shared" si="2"/>
        <v>3.2369999999999992</v>
      </c>
      <c r="H19" t="str">
        <f t="shared" si="0"/>
        <v>3,24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40"/>
      <c r="P19" s="241">
        <f t="shared" si="4"/>
        <v>0.10999999999999999</v>
      </c>
      <c r="Q19" s="241">
        <f t="shared" si="5"/>
        <v>0.10999999999999999</v>
      </c>
      <c r="R19" s="244"/>
      <c r="S19" s="238">
        <f t="shared" si="7"/>
        <v>5</v>
      </c>
      <c r="T19" s="244"/>
      <c r="U19" s="265" t="str">
        <f t="shared" si="6"/>
        <v>2,74</v>
      </c>
      <c r="V19" s="243"/>
    </row>
    <row r="20" spans="1:22" ht="18.399999999999999" customHeight="1" x14ac:dyDescent="0.25">
      <c r="A20" s="1" t="str">
        <f>Minták!W18</f>
        <v>14/IV-Mcsjny</v>
      </c>
      <c r="B20" s="229"/>
      <c r="C20" s="4">
        <f t="shared" si="3"/>
        <v>0.13999999999999999</v>
      </c>
      <c r="D20" s="261">
        <f t="shared" si="1"/>
        <v>0.13999999999999999</v>
      </c>
      <c r="E20" s="4">
        <v>1</v>
      </c>
      <c r="F20" s="223"/>
      <c r="G20" s="262">
        <f t="shared" si="2"/>
        <v>3.4859999999999993</v>
      </c>
      <c r="H20" t="str">
        <f t="shared" si="0"/>
        <v>3,49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40"/>
      <c r="P20" s="241">
        <f t="shared" si="4"/>
        <v>0.11999999999999998</v>
      </c>
      <c r="Q20" s="241">
        <f t="shared" si="5"/>
        <v>0.11999999999999998</v>
      </c>
      <c r="R20" s="244"/>
      <c r="S20" s="238">
        <f t="shared" si="7"/>
        <v>5</v>
      </c>
      <c r="T20" s="244"/>
      <c r="U20" s="265" t="str">
        <f t="shared" si="6"/>
        <v>2,99</v>
      </c>
      <c r="V20" s="245"/>
    </row>
    <row r="21" spans="1:22" ht="18.399999999999999" customHeight="1" x14ac:dyDescent="0.25">
      <c r="A21" s="1" t="str">
        <f>Minták!W19</f>
        <v>15/IV-Rskdom</v>
      </c>
      <c r="B21" s="229"/>
      <c r="C21" s="4">
        <f t="shared" si="3"/>
        <v>0.15</v>
      </c>
      <c r="D21" s="261">
        <f t="shared" si="1"/>
        <v>0.15</v>
      </c>
      <c r="E21" s="4">
        <v>1</v>
      </c>
      <c r="F21" s="223"/>
      <c r="G21" s="262">
        <f t="shared" si="2"/>
        <v>3.7349999999999994</v>
      </c>
      <c r="H21" t="str">
        <f t="shared" si="0"/>
        <v>3,74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40"/>
      <c r="P21" s="241">
        <f t="shared" si="4"/>
        <v>0.12999999999999998</v>
      </c>
      <c r="Q21" s="241">
        <f t="shared" si="5"/>
        <v>0.12999999999999998</v>
      </c>
      <c r="R21" s="244"/>
      <c r="S21" s="238">
        <f t="shared" si="7"/>
        <v>5</v>
      </c>
      <c r="T21" s="244"/>
      <c r="U21" s="265" t="str">
        <f t="shared" si="6"/>
        <v>3,24</v>
      </c>
      <c r="V21" s="245"/>
    </row>
    <row r="22" spans="1:22" ht="18.399999999999999" customHeight="1" x14ac:dyDescent="0.25">
      <c r="A22" s="1" t="str">
        <f>Minták!W20</f>
        <v>16/IV-Jyhjzbmb</v>
      </c>
      <c r="B22" s="229"/>
      <c r="C22" s="4">
        <f t="shared" si="3"/>
        <v>0.16</v>
      </c>
      <c r="D22" s="261">
        <f t="shared" si="1"/>
        <v>0.16</v>
      </c>
      <c r="E22" s="4">
        <v>1</v>
      </c>
      <c r="F22" s="223"/>
      <c r="G22" s="262">
        <f t="shared" si="2"/>
        <v>3.984</v>
      </c>
      <c r="H22" t="str">
        <f t="shared" si="0"/>
        <v>3,98</v>
      </c>
      <c r="L22" s="237" t="str">
        <f>IF(Minták!D18="","",Minták!D18)</f>
        <v>14/IV</v>
      </c>
      <c r="M22" s="244"/>
      <c r="N22" s="246" t="str">
        <f>IF(Minták!H18="","",Minták!H18)</f>
        <v>Mcsjny</v>
      </c>
      <c r="O22" s="240"/>
      <c r="P22" s="241">
        <f t="shared" si="4"/>
        <v>0.13999999999999999</v>
      </c>
      <c r="Q22" s="241">
        <f t="shared" si="5"/>
        <v>0.13999999999999999</v>
      </c>
      <c r="R22" s="244"/>
      <c r="S22" s="238">
        <f t="shared" si="7"/>
        <v>5</v>
      </c>
      <c r="T22" s="244"/>
      <c r="U22" s="265" t="str">
        <f t="shared" si="6"/>
        <v>3,49</v>
      </c>
      <c r="V22" s="243"/>
    </row>
    <row r="23" spans="1:22" ht="18.399999999999999" customHeight="1" x14ac:dyDescent="0.25">
      <c r="A23" s="18" t="s">
        <v>136</v>
      </c>
      <c r="B23" s="229"/>
      <c r="C23" s="4">
        <f t="shared" si="3"/>
        <v>0.17</v>
      </c>
      <c r="D23" s="261">
        <f t="shared" si="1"/>
        <v>0.17</v>
      </c>
      <c r="E23" s="4">
        <v>1</v>
      </c>
      <c r="F23" s="223"/>
      <c r="G23" s="262">
        <f t="shared" si="2"/>
        <v>4.2329999999999997</v>
      </c>
      <c r="H23" s="52">
        <f>ROUND(((G23*100)/VLOOKUP(A23,$D$30:$F$32,3,FALSE)),1)</f>
        <v>105.8</v>
      </c>
      <c r="I23" t="s">
        <v>15</v>
      </c>
      <c r="L23" s="237" t="str">
        <f>IF(Minták!D19="","",Minták!D19)</f>
        <v>15/IV</v>
      </c>
      <c r="M23" s="244"/>
      <c r="N23" s="246" t="str">
        <f>IF(Minták!H19="","",Minták!H19)</f>
        <v>Rskdom</v>
      </c>
      <c r="O23" s="240"/>
      <c r="P23" s="241">
        <f t="shared" si="4"/>
        <v>0.15</v>
      </c>
      <c r="Q23" s="241">
        <f t="shared" si="5"/>
        <v>0.15</v>
      </c>
      <c r="R23" s="244"/>
      <c r="S23" s="238">
        <f t="shared" si="7"/>
        <v>5</v>
      </c>
      <c r="T23" s="244"/>
      <c r="U23" s="265" t="str">
        <f t="shared" si="6"/>
        <v>3,74</v>
      </c>
      <c r="V23" s="243"/>
    </row>
    <row r="24" spans="1:22" ht="18.399999999999999" customHeight="1" x14ac:dyDescent="0.25">
      <c r="A24" s="18" t="s">
        <v>17</v>
      </c>
      <c r="B24" s="67"/>
      <c r="C24" s="4">
        <f t="shared" si="3"/>
        <v>0.18000000000000002</v>
      </c>
      <c r="D24" s="261">
        <f t="shared" si="1"/>
        <v>0.18000000000000002</v>
      </c>
      <c r="E24" s="4">
        <v>1</v>
      </c>
      <c r="F24" s="223"/>
      <c r="G24" s="262">
        <f t="shared" si="2"/>
        <v>4.4820000000000002</v>
      </c>
      <c r="H24" s="52">
        <f>ROUND(((G24*100)/VLOOKUP(A24,$D$30:$F$32,3,FALSE)),1)</f>
        <v>9</v>
      </c>
      <c r="I24" t="s">
        <v>15</v>
      </c>
      <c r="L24" s="237" t="str">
        <f>IF(Minták!D20="","",Minták!D20)</f>
        <v>16/IV</v>
      </c>
      <c r="M24" s="249"/>
      <c r="N24" s="250" t="str">
        <f>IF(Minták!H20="","",Minták!H20)</f>
        <v>Jyhjzbmb</v>
      </c>
      <c r="O24" s="251"/>
      <c r="P24" s="241">
        <f t="shared" si="4"/>
        <v>0.16</v>
      </c>
      <c r="Q24" s="241">
        <f t="shared" si="5"/>
        <v>0.16</v>
      </c>
      <c r="R24" s="249"/>
      <c r="S24" s="238">
        <f t="shared" si="7"/>
        <v>5</v>
      </c>
      <c r="T24" s="249"/>
      <c r="U24" s="265" t="str">
        <f t="shared" si="6"/>
        <v>3,98</v>
      </c>
      <c r="V24" s="252"/>
    </row>
    <row r="25" spans="1:22" ht="18.399999999999999" customHeight="1" x14ac:dyDescent="0.25">
      <c r="L25" s="253"/>
      <c r="M25" s="249"/>
      <c r="N25" s="249" t="str">
        <f>A23</f>
        <v>QC1 (4)</v>
      </c>
      <c r="O25" s="251"/>
      <c r="P25" s="241">
        <f t="shared" si="4"/>
        <v>0.17</v>
      </c>
      <c r="Q25" s="241">
        <f t="shared" si="5"/>
        <v>0.17</v>
      </c>
      <c r="R25" s="249"/>
      <c r="S25" s="238">
        <f t="shared" si="7"/>
        <v>5</v>
      </c>
      <c r="T25" s="249"/>
      <c r="U25" s="265">
        <f>IF($A23="-","",IFERROR(G23,"-"))</f>
        <v>4.2329999999999997</v>
      </c>
      <c r="V25" s="252" t="str">
        <f>CONCATENATE(ROUND(H23,1),"%")</f>
        <v>105,8%</v>
      </c>
    </row>
    <row r="26" spans="1:22" ht="18.399999999999999" customHeight="1" thickBot="1" x14ac:dyDescent="0.3">
      <c r="L26" s="254"/>
      <c r="M26" s="255"/>
      <c r="N26" s="255" t="str">
        <f>A24</f>
        <v>QC2 (50)</v>
      </c>
      <c r="O26" s="256"/>
      <c r="P26" s="257">
        <f t="shared" si="4"/>
        <v>0.18000000000000002</v>
      </c>
      <c r="Q26" s="257">
        <f t="shared" si="5"/>
        <v>0.18000000000000002</v>
      </c>
      <c r="R26" s="255"/>
      <c r="S26" s="258">
        <f t="shared" si="7"/>
        <v>5</v>
      </c>
      <c r="T26" s="255"/>
      <c r="U26" s="266">
        <f>IF($A24="-","",IFERROR(G24,"-"))</f>
        <v>4.4820000000000002</v>
      </c>
      <c r="V26" s="214" t="str">
        <f>CONCATENATE(ROUND(H24,1),"%")</f>
        <v>9%</v>
      </c>
    </row>
    <row r="29" spans="1:22" ht="18.399999999999999" customHeight="1" x14ac:dyDescent="0.25">
      <c r="A29" t="s">
        <v>24</v>
      </c>
      <c r="D29" t="s">
        <v>85</v>
      </c>
      <c r="F29" t="s">
        <v>87</v>
      </c>
      <c r="R29" s="15" t="s">
        <v>38</v>
      </c>
    </row>
    <row r="30" spans="1:22" ht="18.399999999999999" customHeight="1" x14ac:dyDescent="0.25">
      <c r="A30" s="9" t="s">
        <v>44</v>
      </c>
      <c r="D30" s="1" t="str">
        <f>Minták!DW5</f>
        <v>QC1 (4)</v>
      </c>
      <c r="F30" s="1">
        <f>Minták!DX5</f>
        <v>4</v>
      </c>
    </row>
    <row r="31" spans="1:22" ht="18.399999999999999" customHeight="1" x14ac:dyDescent="0.25">
      <c r="A31" t="s">
        <v>36</v>
      </c>
      <c r="D31" s="1" t="str">
        <f>Minták!DY5</f>
        <v>QC2 (50)</v>
      </c>
      <c r="F31" s="1">
        <f>Minták!DZ5</f>
        <v>50</v>
      </c>
    </row>
    <row r="32" spans="1:22" ht="18.399999999999999" customHeight="1" x14ac:dyDescent="0.25">
      <c r="A32" s="1">
        <f>Minták!DS5</f>
        <v>2</v>
      </c>
      <c r="B32" t="s">
        <v>37</v>
      </c>
      <c r="D32" s="1" t="str">
        <f>Minták!EA5</f>
        <v>QC3 (25)</v>
      </c>
      <c r="F32" s="1">
        <f>Minták!EB5</f>
        <v>25</v>
      </c>
    </row>
    <row r="33" spans="1:2" ht="18.399999999999999" customHeight="1" x14ac:dyDescent="0.25">
      <c r="A33" t="s">
        <v>54</v>
      </c>
      <c r="B33" s="260" t="str">
        <f>Minták!DU5</f>
        <v>1,00</v>
      </c>
    </row>
    <row r="34" spans="1:2" ht="18.399999999999999" customHeight="1" x14ac:dyDescent="0.25">
      <c r="A34" t="s">
        <v>55</v>
      </c>
      <c r="B34" s="1" t="str">
        <f>Minták!DV5</f>
        <v>képlet</v>
      </c>
    </row>
    <row r="35" spans="1:2" ht="18.399999999999999" customHeight="1" x14ac:dyDescent="0.25">
      <c r="A35" t="s">
        <v>135</v>
      </c>
      <c r="B35" s="1">
        <f>Minták!DT5</f>
        <v>5</v>
      </c>
    </row>
  </sheetData>
  <sheetProtection algorithmName="SHA-512" hashValue="WNfLuSSsKgr2eqg8OLjLvc/5qbC3skcjdsQYaKvT16xum5M6nx9T+pkwHdsltKKc7UlJ7fGwRgG2ojBPI+nGVw==" saltValue="z5r3egNlbCviZNTtT8qbWw==" spinCount="100000" sheet="1" objects="1" scenarios="1"/>
  <mergeCells count="17">
    <mergeCell ref="A1:G2"/>
    <mergeCell ref="L1:M4"/>
    <mergeCell ref="N1:U4"/>
    <mergeCell ref="L6:L8"/>
    <mergeCell ref="M6:M8"/>
    <mergeCell ref="N6:N8"/>
    <mergeCell ref="O6:Q7"/>
    <mergeCell ref="S6:S8"/>
    <mergeCell ref="T6:T8"/>
    <mergeCell ref="V6:V8"/>
    <mergeCell ref="A3:A6"/>
    <mergeCell ref="B3:B6"/>
    <mergeCell ref="C3:C6"/>
    <mergeCell ref="D3:D6"/>
    <mergeCell ref="E3:E6"/>
    <mergeCell ref="F3:F6"/>
    <mergeCell ref="G3:G6"/>
  </mergeCells>
  <pageMargins left="0.7" right="0.7" top="0.75" bottom="0.75" header="0.3" footer="0.3"/>
  <pageSetup paperSize="9" scale="9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4">
    <pageSetUpPr fitToPage="1"/>
  </sheetPr>
  <dimension ref="A1:V35"/>
  <sheetViews>
    <sheetView zoomScale="99" zoomScaleNormal="99" workbookViewId="0">
      <selection activeCell="E7" sqref="E7:E24"/>
    </sheetView>
  </sheetViews>
  <sheetFormatPr defaultColWidth="9.140625" defaultRowHeight="18.399999999999999" customHeight="1" x14ac:dyDescent="0.25"/>
  <cols>
    <col min="1" max="1" width="33" customWidth="1"/>
    <col min="7" max="7" width="18.28515625" customWidth="1"/>
    <col min="9" max="11" width="9.140625" customWidth="1"/>
    <col min="12" max="12" width="9.140625" style="82"/>
    <col min="13" max="13" width="13.85546875" style="82" customWidth="1"/>
    <col min="14" max="14" width="27.5703125" style="82" customWidth="1"/>
    <col min="15" max="18" width="9.140625" style="82"/>
    <col min="19" max="19" width="11.85546875" style="82" customWidth="1"/>
    <col min="20" max="20" width="9.140625" style="82"/>
    <col min="21" max="21" width="17.5703125" style="82" customWidth="1"/>
    <col min="22" max="22" width="19.7109375" style="82" customWidth="1"/>
  </cols>
  <sheetData>
    <row r="1" spans="1:22" ht="18.399999999999999" customHeight="1" x14ac:dyDescent="0.25">
      <c r="A1" s="529" t="s">
        <v>9</v>
      </c>
      <c r="B1" s="529"/>
      <c r="C1" s="529"/>
      <c r="D1" s="529"/>
      <c r="E1" s="529"/>
      <c r="F1" s="529"/>
      <c r="G1" s="529"/>
      <c r="L1" s="438" t="s">
        <v>319</v>
      </c>
      <c r="M1" s="690"/>
      <c r="N1" s="695" t="s">
        <v>346</v>
      </c>
      <c r="O1" s="696"/>
      <c r="P1" s="696"/>
      <c r="Q1" s="696"/>
      <c r="R1" s="696"/>
      <c r="S1" s="696"/>
      <c r="T1" s="696"/>
      <c r="U1" s="697"/>
      <c r="V1" s="219" t="s">
        <v>336</v>
      </c>
    </row>
    <row r="2" spans="1:22" ht="18.399999999999999" customHeight="1" x14ac:dyDescent="0.25">
      <c r="A2" s="529"/>
      <c r="B2" s="529"/>
      <c r="C2" s="529"/>
      <c r="D2" s="529"/>
      <c r="E2" s="529"/>
      <c r="F2" s="529"/>
      <c r="G2" s="529"/>
      <c r="L2" s="691"/>
      <c r="M2" s="692"/>
      <c r="N2" s="698"/>
      <c r="O2" s="699"/>
      <c r="P2" s="699"/>
      <c r="Q2" s="699"/>
      <c r="R2" s="699"/>
      <c r="S2" s="699"/>
      <c r="T2" s="699"/>
      <c r="U2" s="700"/>
      <c r="V2" s="220" t="s">
        <v>320</v>
      </c>
    </row>
    <row r="3" spans="1:22" ht="18.399999999999999" customHeight="1" x14ac:dyDescent="0.25">
      <c r="A3" s="508" t="s">
        <v>2</v>
      </c>
      <c r="B3" s="508" t="s">
        <v>4</v>
      </c>
      <c r="C3" s="508" t="s">
        <v>10</v>
      </c>
      <c r="D3" s="508" t="s">
        <v>0</v>
      </c>
      <c r="E3" s="508" t="s">
        <v>1</v>
      </c>
      <c r="F3" s="508" t="s">
        <v>5</v>
      </c>
      <c r="G3" s="508" t="s">
        <v>6</v>
      </c>
      <c r="L3" s="691"/>
      <c r="M3" s="692"/>
      <c r="N3" s="698"/>
      <c r="O3" s="699"/>
      <c r="P3" s="699"/>
      <c r="Q3" s="699"/>
      <c r="R3" s="699"/>
      <c r="S3" s="699"/>
      <c r="T3" s="699"/>
      <c r="U3" s="700"/>
      <c r="V3" s="220" t="s">
        <v>706</v>
      </c>
    </row>
    <row r="4" spans="1:22" ht="18.399999999999999" customHeight="1" x14ac:dyDescent="0.25">
      <c r="A4" s="508"/>
      <c r="B4" s="508"/>
      <c r="C4" s="508"/>
      <c r="D4" s="508"/>
      <c r="E4" s="508"/>
      <c r="F4" s="508"/>
      <c r="G4" s="508"/>
      <c r="L4" s="693"/>
      <c r="M4" s="694"/>
      <c r="N4" s="701"/>
      <c r="O4" s="702"/>
      <c r="P4" s="702"/>
      <c r="Q4" s="702"/>
      <c r="R4" s="702"/>
      <c r="S4" s="702"/>
      <c r="T4" s="702"/>
      <c r="U4" s="703"/>
      <c r="V4" s="221" t="s">
        <v>324</v>
      </c>
    </row>
    <row r="5" spans="1:22" ht="18.399999999999999" customHeight="1" thickBot="1" x14ac:dyDescent="0.3">
      <c r="A5" s="508"/>
      <c r="B5" s="508"/>
      <c r="C5" s="508"/>
      <c r="D5" s="508"/>
      <c r="E5" s="508"/>
      <c r="F5" s="508"/>
      <c r="G5" s="508"/>
    </row>
    <row r="6" spans="1:22" ht="18.399999999999999" customHeight="1" thickBot="1" x14ac:dyDescent="0.3">
      <c r="A6" s="717"/>
      <c r="B6" s="717"/>
      <c r="C6" s="717"/>
      <c r="D6" s="717"/>
      <c r="E6" s="717"/>
      <c r="F6" s="717"/>
      <c r="G6" s="717"/>
      <c r="L6" s="704" t="s">
        <v>25</v>
      </c>
      <c r="M6" s="704" t="s">
        <v>26</v>
      </c>
      <c r="N6" s="707" t="s">
        <v>27</v>
      </c>
      <c r="O6" s="710" t="s">
        <v>28</v>
      </c>
      <c r="P6" s="711"/>
      <c r="Q6" s="712"/>
      <c r="R6" s="222" t="s">
        <v>29</v>
      </c>
      <c r="S6" s="688" t="s">
        <v>134</v>
      </c>
      <c r="T6" s="688" t="s">
        <v>5</v>
      </c>
      <c r="U6" s="688" t="s">
        <v>246</v>
      </c>
      <c r="V6" s="688" t="s">
        <v>32</v>
      </c>
    </row>
    <row r="7" spans="1:22" ht="18.399999999999999" customHeight="1" thickBot="1" x14ac:dyDescent="0.3">
      <c r="A7" s="1" t="str">
        <f>Minták!W5</f>
        <v>1/IV-Nhhlz</v>
      </c>
      <c r="B7" s="4">
        <v>0</v>
      </c>
      <c r="C7" s="4">
        <v>0.01</v>
      </c>
      <c r="D7" s="261">
        <f>C7-$B$7</f>
        <v>0.01</v>
      </c>
      <c r="E7" s="4">
        <v>1</v>
      </c>
      <c r="F7" s="19">
        <v>0.92810000000000004</v>
      </c>
      <c r="G7" s="267">
        <f>D7*E7*$F$7</f>
        <v>9.2810000000000011E-3</v>
      </c>
      <c r="H7" t="str">
        <f t="shared" ref="H7:H22" si="0">IFERROR(IF(G7&lt;VALUE(B$33),CONCATENATE("&lt;",B$33),IF(G7&lt;10,FIXED(G7,2),IF(G7&lt;100,FIXED(G7,1),IF(G7&lt;1000,FIXED(G7,0),FIXED(G7,-1))))),"-")</f>
        <v>&lt;0,02</v>
      </c>
      <c r="L7" s="705"/>
      <c r="M7" s="705"/>
      <c r="N7" s="708"/>
      <c r="O7" s="713"/>
      <c r="P7" s="714"/>
      <c r="Q7" s="715"/>
      <c r="R7" s="225" t="s">
        <v>30</v>
      </c>
      <c r="S7" s="689"/>
      <c r="T7" s="689"/>
      <c r="U7" s="689"/>
      <c r="V7" s="689"/>
    </row>
    <row r="8" spans="1:22" ht="18.399999999999999" customHeight="1" thickBot="1" x14ac:dyDescent="0.3">
      <c r="A8" s="1" t="str">
        <f>Minták!W6</f>
        <v>2/IV-ADATOT BEÍRNI</v>
      </c>
      <c r="B8" s="147"/>
      <c r="C8" s="4">
        <f>C7+0.01</f>
        <v>0.02</v>
      </c>
      <c r="D8" s="261">
        <f t="shared" ref="D8:D24" si="1">C8-$B$7</f>
        <v>0.02</v>
      </c>
      <c r="E8" s="4">
        <v>1</v>
      </c>
      <c r="F8" s="268"/>
      <c r="G8" s="267">
        <f t="shared" ref="G8:G24" si="2">D8*E8*$F$7</f>
        <v>1.8562000000000002E-2</v>
      </c>
      <c r="H8" t="str">
        <f t="shared" si="0"/>
        <v>&lt;0,02</v>
      </c>
      <c r="L8" s="706"/>
      <c r="M8" s="706"/>
      <c r="N8" s="709"/>
      <c r="O8" s="222" t="s">
        <v>33</v>
      </c>
      <c r="P8" s="222" t="s">
        <v>34</v>
      </c>
      <c r="Q8" s="222" t="s">
        <v>35</v>
      </c>
      <c r="R8" s="227"/>
      <c r="S8" s="689"/>
      <c r="T8" s="689"/>
      <c r="U8" s="689"/>
      <c r="V8" s="689"/>
    </row>
    <row r="9" spans="1:22" ht="18.399999999999999" customHeight="1" x14ac:dyDescent="0.25">
      <c r="A9" s="1" t="str">
        <f>Minták!W7</f>
        <v>3/KIV-ADATOT BEÍRNI</v>
      </c>
      <c r="B9" s="229"/>
      <c r="C9" s="4">
        <f t="shared" ref="C9:C24" si="3">C8+0.01</f>
        <v>0.03</v>
      </c>
      <c r="D9" s="261">
        <f t="shared" si="1"/>
        <v>0.03</v>
      </c>
      <c r="E9" s="4">
        <v>1</v>
      </c>
      <c r="F9" s="269"/>
      <c r="G9" s="267">
        <f t="shared" si="2"/>
        <v>2.7843E-2</v>
      </c>
      <c r="H9" t="str">
        <f t="shared" si="0"/>
        <v>0,03</v>
      </c>
      <c r="L9" s="230" t="str">
        <f>IF(Minták!D5="","",Minták!D5)</f>
        <v>1/IV</v>
      </c>
      <c r="M9" s="263" t="str">
        <f>A30</f>
        <v>-</v>
      </c>
      <c r="N9" s="232" t="str">
        <f>IF(Minták!H5="","",Minták!H5)</f>
        <v>Nhhlz</v>
      </c>
      <c r="O9" s="234">
        <f>B7</f>
        <v>0</v>
      </c>
      <c r="P9" s="234">
        <f t="shared" ref="P9:P26" si="4">IF($A7="-","",C7)</f>
        <v>0.01</v>
      </c>
      <c r="Q9" s="234">
        <f t="shared" ref="Q9:Q26" si="5">IF($A7="-","",IFERROR(D7,"-"))</f>
        <v>0.01</v>
      </c>
      <c r="R9" s="234">
        <f>A32</f>
        <v>2</v>
      </c>
      <c r="S9" s="234">
        <f>IFERROR(IF($A7="-","",B$35/E7),"-")</f>
        <v>25</v>
      </c>
      <c r="T9" s="234">
        <f>F7</f>
        <v>0.92810000000000004</v>
      </c>
      <c r="U9" s="235" t="str">
        <f t="shared" ref="U9:U24" si="6">H7</f>
        <v>&lt;0,02</v>
      </c>
      <c r="V9" s="236"/>
    </row>
    <row r="10" spans="1:22" ht="18.399999999999999" customHeight="1" x14ac:dyDescent="0.25">
      <c r="A10" s="1" t="str">
        <f>Minták!W8</f>
        <v>4/IV-Ebnxscqc</v>
      </c>
      <c r="B10" s="229"/>
      <c r="C10" s="4">
        <f t="shared" si="3"/>
        <v>0.04</v>
      </c>
      <c r="D10" s="261">
        <f t="shared" si="1"/>
        <v>0.04</v>
      </c>
      <c r="E10" s="4">
        <v>1</v>
      </c>
      <c r="F10" s="269"/>
      <c r="G10" s="267">
        <f t="shared" si="2"/>
        <v>3.7124000000000004E-2</v>
      </c>
      <c r="H10" t="str">
        <f t="shared" si="0"/>
        <v>0,04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44"/>
      <c r="P10" s="238">
        <f t="shared" si="4"/>
        <v>0.02</v>
      </c>
      <c r="Q10" s="238">
        <f t="shared" si="5"/>
        <v>0.02</v>
      </c>
      <c r="R10" s="238"/>
      <c r="S10" s="238">
        <f t="shared" ref="S10:S26" si="7">IFERROR(IF($A8="-","",B$35/E8),"-")</f>
        <v>25</v>
      </c>
      <c r="T10" s="238"/>
      <c r="U10" s="242" t="str">
        <f t="shared" si="6"/>
        <v>&lt;0,02</v>
      </c>
      <c r="V10" s="243"/>
    </row>
    <row r="11" spans="1:22" ht="18.399999999999999" customHeight="1" x14ac:dyDescent="0.25">
      <c r="A11" s="1" t="str">
        <f>Minták!W9</f>
        <v>5/IV-Ubqpva</v>
      </c>
      <c r="B11" s="229"/>
      <c r="C11" s="4">
        <f t="shared" si="3"/>
        <v>0.05</v>
      </c>
      <c r="D11" s="261">
        <f t="shared" si="1"/>
        <v>0.05</v>
      </c>
      <c r="E11" s="4">
        <v>1</v>
      </c>
      <c r="F11" s="269"/>
      <c r="G11" s="267">
        <f t="shared" si="2"/>
        <v>4.6405000000000002E-2</v>
      </c>
      <c r="H11" t="str">
        <f t="shared" si="0"/>
        <v>0,05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44"/>
      <c r="P11" s="238">
        <f t="shared" si="4"/>
        <v>0.03</v>
      </c>
      <c r="Q11" s="238">
        <f t="shared" si="5"/>
        <v>0.03</v>
      </c>
      <c r="R11" s="244"/>
      <c r="S11" s="238">
        <f t="shared" si="7"/>
        <v>25</v>
      </c>
      <c r="T11" s="244"/>
      <c r="U11" s="242" t="str">
        <f t="shared" si="6"/>
        <v>0,03</v>
      </c>
      <c r="V11" s="243"/>
    </row>
    <row r="12" spans="1:22" ht="18.399999999999999" customHeight="1" x14ac:dyDescent="0.25">
      <c r="A12" s="1" t="str">
        <f>Minták!W10</f>
        <v>6/IV-Eouypz</v>
      </c>
      <c r="B12" s="229"/>
      <c r="C12" s="4">
        <f t="shared" si="3"/>
        <v>6.0000000000000005E-2</v>
      </c>
      <c r="D12" s="261">
        <f t="shared" si="1"/>
        <v>6.0000000000000005E-2</v>
      </c>
      <c r="E12" s="4">
        <v>1</v>
      </c>
      <c r="F12" s="269"/>
      <c r="G12" s="267">
        <f t="shared" si="2"/>
        <v>5.5686000000000006E-2</v>
      </c>
      <c r="H12" t="str">
        <f t="shared" si="0"/>
        <v>0,06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44"/>
      <c r="P12" s="238">
        <f t="shared" si="4"/>
        <v>0.04</v>
      </c>
      <c r="Q12" s="238">
        <f t="shared" si="5"/>
        <v>0.04</v>
      </c>
      <c r="R12" s="244"/>
      <c r="S12" s="238">
        <f t="shared" si="7"/>
        <v>25</v>
      </c>
      <c r="T12" s="244"/>
      <c r="U12" s="242" t="str">
        <f t="shared" si="6"/>
        <v>0,04</v>
      </c>
      <c r="V12" s="243"/>
    </row>
    <row r="13" spans="1:22" ht="18.399999999999999" customHeight="1" x14ac:dyDescent="0.25">
      <c r="A13" s="1" t="str">
        <f>Minták!W11</f>
        <v>7/IV-Rkohqy</v>
      </c>
      <c r="B13" s="229"/>
      <c r="C13" s="4">
        <f t="shared" si="3"/>
        <v>7.0000000000000007E-2</v>
      </c>
      <c r="D13" s="261">
        <f t="shared" si="1"/>
        <v>7.0000000000000007E-2</v>
      </c>
      <c r="E13" s="4">
        <v>1</v>
      </c>
      <c r="F13" s="269"/>
      <c r="G13" s="267">
        <f t="shared" si="2"/>
        <v>6.4967000000000011E-2</v>
      </c>
      <c r="H13" t="str">
        <f t="shared" si="0"/>
        <v>0,06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44"/>
      <c r="P13" s="238">
        <f t="shared" si="4"/>
        <v>0.05</v>
      </c>
      <c r="Q13" s="238">
        <f t="shared" si="5"/>
        <v>0.05</v>
      </c>
      <c r="R13" s="244"/>
      <c r="S13" s="238">
        <f t="shared" si="7"/>
        <v>25</v>
      </c>
      <c r="T13" s="244"/>
      <c r="U13" s="242" t="str">
        <f t="shared" si="6"/>
        <v>0,05</v>
      </c>
      <c r="V13" s="243"/>
    </row>
    <row r="14" spans="1:22" ht="18.399999999999999" customHeight="1" x14ac:dyDescent="0.25">
      <c r="A14" s="1" t="str">
        <f>Minták!W12</f>
        <v>8/IV-Vxhhmc</v>
      </c>
      <c r="B14" s="229"/>
      <c r="C14" s="4">
        <f t="shared" si="3"/>
        <v>0.08</v>
      </c>
      <c r="D14" s="261">
        <f t="shared" si="1"/>
        <v>0.08</v>
      </c>
      <c r="E14" s="4">
        <v>1</v>
      </c>
      <c r="F14" s="269"/>
      <c r="G14" s="267">
        <f t="shared" si="2"/>
        <v>7.4248000000000008E-2</v>
      </c>
      <c r="H14" t="str">
        <f t="shared" si="0"/>
        <v>0,07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44"/>
      <c r="P14" s="238">
        <f t="shared" si="4"/>
        <v>6.0000000000000005E-2</v>
      </c>
      <c r="Q14" s="238">
        <f t="shared" si="5"/>
        <v>6.0000000000000005E-2</v>
      </c>
      <c r="R14" s="244"/>
      <c r="S14" s="238">
        <f t="shared" si="7"/>
        <v>25</v>
      </c>
      <c r="T14" s="244"/>
      <c r="U14" s="242" t="str">
        <f t="shared" si="6"/>
        <v>0,06</v>
      </c>
      <c r="V14" s="243"/>
    </row>
    <row r="15" spans="1:22" ht="18.399999999999999" customHeight="1" x14ac:dyDescent="0.25">
      <c r="A15" s="1" t="str">
        <f>Minták!W13</f>
        <v>9/IV-Msdxtl</v>
      </c>
      <c r="B15" s="229"/>
      <c r="C15" s="4">
        <f t="shared" si="3"/>
        <v>0.09</v>
      </c>
      <c r="D15" s="261">
        <f t="shared" si="1"/>
        <v>0.09</v>
      </c>
      <c r="E15" s="4">
        <v>1</v>
      </c>
      <c r="F15" s="269"/>
      <c r="G15" s="267">
        <f t="shared" si="2"/>
        <v>8.3529000000000006E-2</v>
      </c>
      <c r="H15" t="str">
        <f t="shared" si="0"/>
        <v>0,08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44"/>
      <c r="P15" s="238">
        <f t="shared" si="4"/>
        <v>7.0000000000000007E-2</v>
      </c>
      <c r="Q15" s="238">
        <f t="shared" si="5"/>
        <v>7.0000000000000007E-2</v>
      </c>
      <c r="R15" s="244"/>
      <c r="S15" s="238">
        <f t="shared" si="7"/>
        <v>25</v>
      </c>
      <c r="T15" s="244"/>
      <c r="U15" s="242" t="str">
        <f t="shared" si="6"/>
        <v>0,06</v>
      </c>
      <c r="V15" s="243"/>
    </row>
    <row r="16" spans="1:22" ht="18.399999999999999" customHeight="1" x14ac:dyDescent="0.25">
      <c r="A16" s="1" t="str">
        <f>Minták!W14</f>
        <v>10/IV-Qoldnt</v>
      </c>
      <c r="B16" s="229"/>
      <c r="C16" s="4">
        <f t="shared" si="3"/>
        <v>9.9999999999999992E-2</v>
      </c>
      <c r="D16" s="261">
        <f t="shared" si="1"/>
        <v>9.9999999999999992E-2</v>
      </c>
      <c r="E16" s="4">
        <v>1</v>
      </c>
      <c r="F16" s="269"/>
      <c r="G16" s="267">
        <f t="shared" si="2"/>
        <v>9.280999999999999E-2</v>
      </c>
      <c r="H16" t="str">
        <f t="shared" si="0"/>
        <v>0,09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44"/>
      <c r="P16" s="238">
        <f t="shared" si="4"/>
        <v>0.08</v>
      </c>
      <c r="Q16" s="238">
        <f t="shared" si="5"/>
        <v>0.08</v>
      </c>
      <c r="R16" s="244"/>
      <c r="S16" s="238">
        <f t="shared" si="7"/>
        <v>25</v>
      </c>
      <c r="T16" s="244"/>
      <c r="U16" s="242" t="str">
        <f t="shared" si="6"/>
        <v>0,07</v>
      </c>
      <c r="V16" s="270"/>
    </row>
    <row r="17" spans="1:22" ht="18.399999999999999" customHeight="1" x14ac:dyDescent="0.25">
      <c r="A17" s="1" t="str">
        <f>Minták!W15</f>
        <v>11/IV-Qnvptf</v>
      </c>
      <c r="B17" s="229"/>
      <c r="C17" s="4">
        <f t="shared" si="3"/>
        <v>0.10999999999999999</v>
      </c>
      <c r="D17" s="261">
        <f t="shared" si="1"/>
        <v>0.10999999999999999</v>
      </c>
      <c r="E17" s="4">
        <v>1</v>
      </c>
      <c r="F17" s="269"/>
      <c r="G17" s="267">
        <f t="shared" si="2"/>
        <v>0.10209099999999999</v>
      </c>
      <c r="H17" t="str">
        <f t="shared" si="0"/>
        <v>0,10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44"/>
      <c r="P17" s="238">
        <f t="shared" si="4"/>
        <v>0.09</v>
      </c>
      <c r="Q17" s="238">
        <f t="shared" si="5"/>
        <v>0.09</v>
      </c>
      <c r="R17" s="244"/>
      <c r="S17" s="238">
        <f t="shared" si="7"/>
        <v>25</v>
      </c>
      <c r="T17" s="244"/>
      <c r="U17" s="242" t="str">
        <f t="shared" si="6"/>
        <v>0,08</v>
      </c>
      <c r="V17" s="270"/>
    </row>
    <row r="18" spans="1:22" ht="18.399999999999999" customHeight="1" x14ac:dyDescent="0.25">
      <c r="A18" s="1" t="str">
        <f>Minták!W16</f>
        <v>12/IV-Lebdoq</v>
      </c>
      <c r="B18" s="229"/>
      <c r="C18" s="4">
        <f t="shared" si="3"/>
        <v>0.11999999999999998</v>
      </c>
      <c r="D18" s="261">
        <f t="shared" si="1"/>
        <v>0.11999999999999998</v>
      </c>
      <c r="E18" s="4">
        <v>1</v>
      </c>
      <c r="F18" s="269"/>
      <c r="G18" s="267">
        <f t="shared" si="2"/>
        <v>0.11137199999999998</v>
      </c>
      <c r="H18" t="str">
        <f t="shared" si="0"/>
        <v>0,11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44"/>
      <c r="P18" s="238">
        <f t="shared" si="4"/>
        <v>9.9999999999999992E-2</v>
      </c>
      <c r="Q18" s="238">
        <f t="shared" si="5"/>
        <v>9.9999999999999992E-2</v>
      </c>
      <c r="R18" s="244"/>
      <c r="S18" s="238">
        <f t="shared" si="7"/>
        <v>25</v>
      </c>
      <c r="T18" s="244"/>
      <c r="U18" s="242" t="str">
        <f t="shared" si="6"/>
        <v>0,09</v>
      </c>
      <c r="V18" s="243"/>
    </row>
    <row r="19" spans="1:22" ht="18.399999999999999" customHeight="1" x14ac:dyDescent="0.25">
      <c r="A19" s="1" t="str">
        <f>Minták!W17</f>
        <v>13/IV-Askfua</v>
      </c>
      <c r="B19" s="229"/>
      <c r="C19" s="4">
        <f t="shared" si="3"/>
        <v>0.12999999999999998</v>
      </c>
      <c r="D19" s="261">
        <f t="shared" si="1"/>
        <v>0.12999999999999998</v>
      </c>
      <c r="E19" s="4">
        <v>1</v>
      </c>
      <c r="F19" s="269"/>
      <c r="G19" s="267">
        <f t="shared" si="2"/>
        <v>0.12065299999999998</v>
      </c>
      <c r="H19" t="str">
        <f t="shared" si="0"/>
        <v>0,12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44"/>
      <c r="P19" s="238">
        <f t="shared" si="4"/>
        <v>0.10999999999999999</v>
      </c>
      <c r="Q19" s="238">
        <f t="shared" si="5"/>
        <v>0.10999999999999999</v>
      </c>
      <c r="R19" s="244"/>
      <c r="S19" s="238">
        <f t="shared" si="7"/>
        <v>25</v>
      </c>
      <c r="T19" s="244"/>
      <c r="U19" s="242" t="str">
        <f t="shared" si="6"/>
        <v>0,10</v>
      </c>
      <c r="V19" s="243"/>
    </row>
    <row r="20" spans="1:22" ht="18.399999999999999" customHeight="1" x14ac:dyDescent="0.25">
      <c r="A20" s="1" t="str">
        <f>Minták!W18</f>
        <v>14/IV-Mcsjny</v>
      </c>
      <c r="B20" s="229"/>
      <c r="C20" s="4">
        <f t="shared" si="3"/>
        <v>0.13999999999999999</v>
      </c>
      <c r="D20" s="261">
        <f t="shared" si="1"/>
        <v>0.13999999999999999</v>
      </c>
      <c r="E20" s="4">
        <v>1</v>
      </c>
      <c r="F20" s="269"/>
      <c r="G20" s="267">
        <f t="shared" si="2"/>
        <v>0.12993399999999999</v>
      </c>
      <c r="H20" t="str">
        <f t="shared" si="0"/>
        <v>0,13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44"/>
      <c r="P20" s="238">
        <f t="shared" si="4"/>
        <v>0.11999999999999998</v>
      </c>
      <c r="Q20" s="238">
        <f t="shared" si="5"/>
        <v>0.11999999999999998</v>
      </c>
      <c r="R20" s="244"/>
      <c r="S20" s="238">
        <f t="shared" si="7"/>
        <v>25</v>
      </c>
      <c r="T20" s="244"/>
      <c r="U20" s="242" t="str">
        <f t="shared" si="6"/>
        <v>0,11</v>
      </c>
      <c r="V20" s="270"/>
    </row>
    <row r="21" spans="1:22" ht="18.399999999999999" customHeight="1" x14ac:dyDescent="0.25">
      <c r="A21" s="1" t="str">
        <f>Minták!W19</f>
        <v>15/IV-Rskdom</v>
      </c>
      <c r="B21" s="229"/>
      <c r="C21" s="4">
        <f t="shared" si="3"/>
        <v>0.15</v>
      </c>
      <c r="D21" s="261">
        <f t="shared" si="1"/>
        <v>0.15</v>
      </c>
      <c r="E21" s="4">
        <v>1</v>
      </c>
      <c r="F21" s="269"/>
      <c r="G21" s="267">
        <f t="shared" si="2"/>
        <v>0.13921500000000001</v>
      </c>
      <c r="H21" t="str">
        <f t="shared" si="0"/>
        <v>0,14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44"/>
      <c r="P21" s="238">
        <f t="shared" si="4"/>
        <v>0.12999999999999998</v>
      </c>
      <c r="Q21" s="238">
        <f t="shared" si="5"/>
        <v>0.12999999999999998</v>
      </c>
      <c r="R21" s="244"/>
      <c r="S21" s="238">
        <f t="shared" si="7"/>
        <v>25</v>
      </c>
      <c r="T21" s="244"/>
      <c r="U21" s="242" t="str">
        <f t="shared" si="6"/>
        <v>0,12</v>
      </c>
      <c r="V21" s="270"/>
    </row>
    <row r="22" spans="1:22" ht="18.399999999999999" customHeight="1" x14ac:dyDescent="0.25">
      <c r="A22" s="1" t="str">
        <f>Minták!W20</f>
        <v>16/IV-Jyhjzbmb</v>
      </c>
      <c r="B22" s="229"/>
      <c r="C22" s="4">
        <f t="shared" si="3"/>
        <v>0.16</v>
      </c>
      <c r="D22" s="261">
        <f t="shared" si="1"/>
        <v>0.16</v>
      </c>
      <c r="E22" s="4">
        <v>1</v>
      </c>
      <c r="F22" s="269"/>
      <c r="G22" s="267">
        <f t="shared" si="2"/>
        <v>0.14849600000000002</v>
      </c>
      <c r="H22" t="str">
        <f t="shared" si="0"/>
        <v>0,15</v>
      </c>
      <c r="L22" s="237" t="str">
        <f>IF(Minták!D18="","",Minták!D18)</f>
        <v>14/IV</v>
      </c>
      <c r="M22" s="244"/>
      <c r="N22" s="246" t="str">
        <f>IF(Minták!H18="","",Minták!H18)</f>
        <v>Mcsjny</v>
      </c>
      <c r="O22" s="244"/>
      <c r="P22" s="238">
        <f t="shared" si="4"/>
        <v>0.13999999999999999</v>
      </c>
      <c r="Q22" s="238">
        <f t="shared" si="5"/>
        <v>0.13999999999999999</v>
      </c>
      <c r="R22" s="244"/>
      <c r="S22" s="238">
        <f t="shared" si="7"/>
        <v>25</v>
      </c>
      <c r="T22" s="244"/>
      <c r="U22" s="242" t="str">
        <f t="shared" si="6"/>
        <v>0,13</v>
      </c>
      <c r="V22" s="243"/>
    </row>
    <row r="23" spans="1:22" ht="18.399999999999999" customHeight="1" x14ac:dyDescent="0.25">
      <c r="A23" s="18" t="s">
        <v>139</v>
      </c>
      <c r="B23" s="229"/>
      <c r="C23" s="4">
        <f t="shared" si="3"/>
        <v>0.17</v>
      </c>
      <c r="D23" s="261">
        <f t="shared" si="1"/>
        <v>0.17</v>
      </c>
      <c r="E23" s="4">
        <v>1</v>
      </c>
      <c r="F23" s="269"/>
      <c r="G23" s="267">
        <f t="shared" si="2"/>
        <v>0.15777700000000003</v>
      </c>
      <c r="H23" s="52">
        <f>ROUND(((G23*100)/VLOOKUP(A23,$D$30:$F$32,3,FALSE)),1)</f>
        <v>394.4</v>
      </c>
      <c r="I23" t="s">
        <v>15</v>
      </c>
      <c r="L23" s="237" t="str">
        <f>IF(Minták!D19="","",Minták!D19)</f>
        <v>15/IV</v>
      </c>
      <c r="M23" s="244"/>
      <c r="N23" s="246" t="str">
        <f>IF(Minták!H19="","",Minták!H19)</f>
        <v>Rskdom</v>
      </c>
      <c r="O23" s="244"/>
      <c r="P23" s="238">
        <f t="shared" si="4"/>
        <v>0.15</v>
      </c>
      <c r="Q23" s="238">
        <f t="shared" si="5"/>
        <v>0.15</v>
      </c>
      <c r="R23" s="244"/>
      <c r="S23" s="238">
        <f t="shared" si="7"/>
        <v>25</v>
      </c>
      <c r="T23" s="244"/>
      <c r="U23" s="242" t="str">
        <f t="shared" si="6"/>
        <v>0,14</v>
      </c>
      <c r="V23" s="243"/>
    </row>
    <row r="24" spans="1:22" ht="18.399999999999999" customHeight="1" x14ac:dyDescent="0.25">
      <c r="A24" s="18" t="s">
        <v>131</v>
      </c>
      <c r="B24" s="67"/>
      <c r="C24" s="4">
        <f t="shared" si="3"/>
        <v>0.18000000000000002</v>
      </c>
      <c r="D24" s="261">
        <f t="shared" si="1"/>
        <v>0.18000000000000002</v>
      </c>
      <c r="E24" s="4">
        <v>1</v>
      </c>
      <c r="F24" s="271"/>
      <c r="G24" s="267">
        <f t="shared" si="2"/>
        <v>0.16705800000000004</v>
      </c>
      <c r="H24" s="52">
        <f>ROUND(((G24*100)/VLOOKUP(A24,$D$30:$F$32,3,FALSE)),1)</f>
        <v>33.4</v>
      </c>
      <c r="I24" t="s">
        <v>15</v>
      </c>
      <c r="L24" s="237" t="str">
        <f>IF(Minták!D20="","",Minták!D20)</f>
        <v>16/IV</v>
      </c>
      <c r="M24" s="249"/>
      <c r="N24" s="250" t="str">
        <f>IF(Minták!H20="","",Minták!H20)</f>
        <v>Jyhjzbmb</v>
      </c>
      <c r="O24" s="249"/>
      <c r="P24" s="238">
        <f t="shared" si="4"/>
        <v>0.16</v>
      </c>
      <c r="Q24" s="238">
        <f t="shared" si="5"/>
        <v>0.16</v>
      </c>
      <c r="R24" s="249"/>
      <c r="S24" s="238">
        <f t="shared" si="7"/>
        <v>25</v>
      </c>
      <c r="T24" s="249"/>
      <c r="U24" s="242" t="str">
        <f t="shared" si="6"/>
        <v>0,15</v>
      </c>
      <c r="V24" s="272"/>
    </row>
    <row r="25" spans="1:22" ht="18.399999999999999" customHeight="1" x14ac:dyDescent="0.25">
      <c r="L25" s="253"/>
      <c r="M25" s="249"/>
      <c r="N25" s="273" t="str">
        <f>A23</f>
        <v>QC1 (0,04)</v>
      </c>
      <c r="O25" s="249"/>
      <c r="P25" s="238">
        <f t="shared" si="4"/>
        <v>0.17</v>
      </c>
      <c r="Q25" s="238">
        <f t="shared" si="5"/>
        <v>0.17</v>
      </c>
      <c r="R25" s="249"/>
      <c r="S25" s="238">
        <f t="shared" si="7"/>
        <v>25</v>
      </c>
      <c r="T25" s="249"/>
      <c r="U25" s="242">
        <f>IF($A23="-","",IFERROR(G23,"-"))</f>
        <v>0.15777700000000003</v>
      </c>
      <c r="V25" s="252" t="str">
        <f>CONCATENATE(ROUND(H23,1),"%")</f>
        <v>394,4%</v>
      </c>
    </row>
    <row r="26" spans="1:22" ht="18.399999999999999" customHeight="1" thickBot="1" x14ac:dyDescent="0.3">
      <c r="L26" s="254"/>
      <c r="M26" s="255"/>
      <c r="N26" s="274" t="str">
        <f>A24</f>
        <v>QC2 (0,5)</v>
      </c>
      <c r="O26" s="255"/>
      <c r="P26" s="258">
        <f t="shared" si="4"/>
        <v>0.18000000000000002</v>
      </c>
      <c r="Q26" s="258">
        <f t="shared" si="5"/>
        <v>0.18000000000000002</v>
      </c>
      <c r="R26" s="255"/>
      <c r="S26" s="258">
        <f t="shared" si="7"/>
        <v>25</v>
      </c>
      <c r="T26" s="255"/>
      <c r="U26" s="259">
        <f>IF($A24="-","",IFERROR(G24,"-"))</f>
        <v>0.16705800000000004</v>
      </c>
      <c r="V26" s="214" t="str">
        <f>CONCATENATE(ROUND(H24,1),"%")</f>
        <v>33,4%</v>
      </c>
    </row>
    <row r="29" spans="1:22" ht="18.399999999999999" customHeight="1" x14ac:dyDescent="0.25">
      <c r="A29" t="s">
        <v>24</v>
      </c>
      <c r="D29" t="s">
        <v>85</v>
      </c>
      <c r="F29" t="s">
        <v>87</v>
      </c>
      <c r="R29" s="15" t="s">
        <v>38</v>
      </c>
    </row>
    <row r="30" spans="1:22" ht="18.399999999999999" customHeight="1" x14ac:dyDescent="0.25">
      <c r="A30" s="9" t="s">
        <v>44</v>
      </c>
      <c r="D30" s="1" t="str">
        <f>Minták!DW6</f>
        <v>QC1 (0,04)</v>
      </c>
      <c r="F30" s="1">
        <f>Minták!DX6</f>
        <v>0.04</v>
      </c>
    </row>
    <row r="31" spans="1:22" ht="18.399999999999999" customHeight="1" x14ac:dyDescent="0.25">
      <c r="A31" t="s">
        <v>36</v>
      </c>
      <c r="D31" s="1" t="str">
        <f>Minták!DY6</f>
        <v>QC2 (0,5)</v>
      </c>
      <c r="F31" s="1">
        <f>Minták!DZ6</f>
        <v>0.5</v>
      </c>
    </row>
    <row r="32" spans="1:22" ht="18.399999999999999" customHeight="1" x14ac:dyDescent="0.25">
      <c r="A32" s="1">
        <f>Minták!DS6</f>
        <v>2</v>
      </c>
      <c r="B32" t="s">
        <v>37</v>
      </c>
      <c r="D32" s="1" t="str">
        <f>Minták!EA6</f>
        <v>QC3 (1)</v>
      </c>
      <c r="F32" s="1">
        <f>Minták!EB6</f>
        <v>1</v>
      </c>
    </row>
    <row r="33" spans="1:2" ht="18.399999999999999" customHeight="1" x14ac:dyDescent="0.25">
      <c r="A33" t="s">
        <v>54</v>
      </c>
      <c r="B33" s="260" t="str">
        <f>Minták!DU6</f>
        <v>0,02</v>
      </c>
    </row>
    <row r="34" spans="1:2" ht="18.399999999999999" customHeight="1" x14ac:dyDescent="0.25">
      <c r="A34" t="s">
        <v>55</v>
      </c>
      <c r="B34" s="1" t="str">
        <f>Minták!DV6</f>
        <v>képlet</v>
      </c>
    </row>
    <row r="35" spans="1:2" ht="18.399999999999999" customHeight="1" x14ac:dyDescent="0.25">
      <c r="A35" t="s">
        <v>135</v>
      </c>
      <c r="B35" s="1">
        <f>Minták!DT6</f>
        <v>25</v>
      </c>
    </row>
  </sheetData>
  <sheetProtection algorithmName="SHA-512" hashValue="l9k6QW7uYuByE3XYQF3HGx6QIsdUb6Vma1Y6GUQz3K3VGOH/aGKsDb3eZfKfXCAorgdf0GbRSNG4a10Vtu4BdA==" saltValue="1Ky8fxdRnhUrcA3muartHA==" spinCount="100000" sheet="1" objects="1" scenarios="1"/>
  <mergeCells count="18">
    <mergeCell ref="A1:G2"/>
    <mergeCell ref="A3:A6"/>
    <mergeCell ref="B3:B6"/>
    <mergeCell ref="C3:C6"/>
    <mergeCell ref="D3:D6"/>
    <mergeCell ref="E3:E6"/>
    <mergeCell ref="F3:F6"/>
    <mergeCell ref="G3:G6"/>
    <mergeCell ref="V6:V8"/>
    <mergeCell ref="L1:M4"/>
    <mergeCell ref="N1:U4"/>
    <mergeCell ref="L6:L8"/>
    <mergeCell ref="M6:M8"/>
    <mergeCell ref="N6:N8"/>
    <mergeCell ref="O6:Q7"/>
    <mergeCell ref="S6:S8"/>
    <mergeCell ref="T6:T8"/>
    <mergeCell ref="U6:U8"/>
  </mergeCells>
  <pageMargins left="0.7" right="0.7" top="0.75" bottom="0.75" header="0.3" footer="0.3"/>
  <pageSetup paperSize="9" scale="90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5">
    <pageSetUpPr fitToPage="1"/>
  </sheetPr>
  <dimension ref="A1:V35"/>
  <sheetViews>
    <sheetView topLeftCell="A2" zoomScale="95" zoomScaleNormal="95" workbookViewId="0">
      <selection activeCell="E7" sqref="E7:E24"/>
    </sheetView>
  </sheetViews>
  <sheetFormatPr defaultColWidth="9.140625" defaultRowHeight="18.399999999999999" customHeight="1" x14ac:dyDescent="0.25"/>
  <cols>
    <col min="1" max="1" width="33" customWidth="1"/>
    <col min="7" max="7" width="18.28515625" customWidth="1"/>
    <col min="11" max="11" width="9.140625" customWidth="1"/>
    <col min="12" max="12" width="9.140625" style="82"/>
    <col min="13" max="13" width="13.85546875" style="82" customWidth="1"/>
    <col min="14" max="14" width="27.5703125" style="82" customWidth="1"/>
    <col min="15" max="18" width="9.140625" style="82"/>
    <col min="19" max="19" width="11.85546875" style="82" customWidth="1"/>
    <col min="20" max="20" width="9.140625" style="82"/>
    <col min="21" max="21" width="17.5703125" style="82" customWidth="1"/>
    <col min="22" max="22" width="19.7109375" style="82" customWidth="1"/>
  </cols>
  <sheetData>
    <row r="1" spans="1:22" ht="18.399999999999999" customHeight="1" x14ac:dyDescent="0.25">
      <c r="A1" s="529" t="s">
        <v>141</v>
      </c>
      <c r="B1" s="529"/>
      <c r="C1" s="529"/>
      <c r="D1" s="529"/>
      <c r="E1" s="529"/>
      <c r="F1" s="529"/>
      <c r="G1" s="529"/>
      <c r="L1" s="438" t="s">
        <v>319</v>
      </c>
      <c r="M1" s="690"/>
      <c r="N1" s="695" t="s">
        <v>347</v>
      </c>
      <c r="O1" s="696"/>
      <c r="P1" s="696"/>
      <c r="Q1" s="696"/>
      <c r="R1" s="696"/>
      <c r="S1" s="696"/>
      <c r="T1" s="696"/>
      <c r="U1" s="697"/>
      <c r="V1" s="219" t="s">
        <v>337</v>
      </c>
    </row>
    <row r="2" spans="1:22" ht="18.399999999999999" customHeight="1" x14ac:dyDescent="0.25">
      <c r="A2" s="529"/>
      <c r="B2" s="529"/>
      <c r="C2" s="529"/>
      <c r="D2" s="529"/>
      <c r="E2" s="529"/>
      <c r="F2" s="529"/>
      <c r="G2" s="529"/>
      <c r="L2" s="691"/>
      <c r="M2" s="692"/>
      <c r="N2" s="698"/>
      <c r="O2" s="699"/>
      <c r="P2" s="699"/>
      <c r="Q2" s="699"/>
      <c r="R2" s="699"/>
      <c r="S2" s="699"/>
      <c r="T2" s="699"/>
      <c r="U2" s="700"/>
      <c r="V2" s="220" t="s">
        <v>320</v>
      </c>
    </row>
    <row r="3" spans="1:22" ht="18.399999999999999" customHeight="1" x14ac:dyDescent="0.25">
      <c r="A3" s="508" t="s">
        <v>2</v>
      </c>
      <c r="B3" s="508" t="s">
        <v>4</v>
      </c>
      <c r="C3" s="508" t="s">
        <v>10</v>
      </c>
      <c r="D3" s="508" t="s">
        <v>0</v>
      </c>
      <c r="E3" s="508" t="s">
        <v>1</v>
      </c>
      <c r="F3" s="508" t="s">
        <v>5</v>
      </c>
      <c r="G3" s="508" t="s">
        <v>142</v>
      </c>
      <c r="L3" s="691"/>
      <c r="M3" s="692"/>
      <c r="N3" s="698"/>
      <c r="O3" s="699"/>
      <c r="P3" s="699"/>
      <c r="Q3" s="699"/>
      <c r="R3" s="699"/>
      <c r="S3" s="699"/>
      <c r="T3" s="699"/>
      <c r="U3" s="700"/>
      <c r="V3" s="220" t="s">
        <v>706</v>
      </c>
    </row>
    <row r="4" spans="1:22" ht="18.399999999999999" customHeight="1" x14ac:dyDescent="0.25">
      <c r="A4" s="508"/>
      <c r="B4" s="508"/>
      <c r="C4" s="508"/>
      <c r="D4" s="508"/>
      <c r="E4" s="508"/>
      <c r="F4" s="508"/>
      <c r="G4" s="508"/>
      <c r="L4" s="693"/>
      <c r="M4" s="694"/>
      <c r="N4" s="701"/>
      <c r="O4" s="702"/>
      <c r="P4" s="702"/>
      <c r="Q4" s="702"/>
      <c r="R4" s="702"/>
      <c r="S4" s="702"/>
      <c r="T4" s="702"/>
      <c r="U4" s="703"/>
      <c r="V4" s="221" t="s">
        <v>324</v>
      </c>
    </row>
    <row r="5" spans="1:22" ht="18.399999999999999" customHeight="1" thickBot="1" x14ac:dyDescent="0.3">
      <c r="A5" s="508"/>
      <c r="B5" s="508"/>
      <c r="C5" s="508"/>
      <c r="D5" s="508"/>
      <c r="E5" s="508"/>
      <c r="F5" s="508"/>
      <c r="G5" s="508"/>
    </row>
    <row r="6" spans="1:22" ht="18.399999999999999" customHeight="1" thickBot="1" x14ac:dyDescent="0.3">
      <c r="A6" s="717"/>
      <c r="B6" s="717"/>
      <c r="C6" s="717"/>
      <c r="D6" s="717"/>
      <c r="E6" s="717"/>
      <c r="F6" s="717"/>
      <c r="G6" s="717"/>
      <c r="L6" s="704" t="s">
        <v>25</v>
      </c>
      <c r="M6" s="704" t="s">
        <v>26</v>
      </c>
      <c r="N6" s="707" t="s">
        <v>27</v>
      </c>
      <c r="O6" s="710" t="s">
        <v>28</v>
      </c>
      <c r="P6" s="711"/>
      <c r="Q6" s="712"/>
      <c r="R6" s="222" t="s">
        <v>29</v>
      </c>
      <c r="S6" s="688" t="s">
        <v>1</v>
      </c>
      <c r="T6" s="688" t="s">
        <v>5</v>
      </c>
      <c r="U6" s="688" t="s">
        <v>247</v>
      </c>
      <c r="V6" s="688" t="s">
        <v>32</v>
      </c>
    </row>
    <row r="7" spans="1:22" ht="18.399999999999999" customHeight="1" thickBot="1" x14ac:dyDescent="0.3">
      <c r="A7" s="1" t="str">
        <f>Minták!W5</f>
        <v>1/IV-Nhhlz</v>
      </c>
      <c r="B7" s="6">
        <v>0</v>
      </c>
      <c r="C7" s="4">
        <v>0.01</v>
      </c>
      <c r="D7" s="261">
        <f>C7-$B$7</f>
        <v>0.01</v>
      </c>
      <c r="E7" s="4">
        <v>1</v>
      </c>
      <c r="F7" s="19">
        <v>1.214</v>
      </c>
      <c r="G7" s="267">
        <f>D7*E7*$F$7</f>
        <v>1.214E-2</v>
      </c>
      <c r="H7" t="str">
        <f t="shared" ref="H7:H22" si="0">IFERROR(IF(G7&lt;VALUE(B$33),CONCATENATE("&lt;",B$33),IF(G7&lt;10,FIXED(G7,2),IF(G7&lt;100,FIXED(G7,1),IF(G7&lt;1000,FIXED(G7,0),FIXED(G7,-1))))),"-")</f>
        <v>&lt;0,03</v>
      </c>
      <c r="L7" s="705"/>
      <c r="M7" s="705"/>
      <c r="N7" s="708"/>
      <c r="O7" s="713"/>
      <c r="P7" s="714"/>
      <c r="Q7" s="715"/>
      <c r="R7" s="225" t="s">
        <v>30</v>
      </c>
      <c r="S7" s="689"/>
      <c r="T7" s="689"/>
      <c r="U7" s="689"/>
      <c r="V7" s="689"/>
    </row>
    <row r="8" spans="1:22" ht="18.399999999999999" customHeight="1" thickBot="1" x14ac:dyDescent="0.3">
      <c r="A8" s="1" t="str">
        <f>Minták!W6</f>
        <v>2/IV-ADATOT BEÍRNI</v>
      </c>
      <c r="B8" s="147"/>
      <c r="C8" s="4">
        <f>C7+0.01</f>
        <v>0.02</v>
      </c>
      <c r="D8" s="261">
        <f t="shared" ref="D8:D24" si="1">C8-$B$7</f>
        <v>0.02</v>
      </c>
      <c r="E8" s="4">
        <v>1</v>
      </c>
      <c r="F8" s="268"/>
      <c r="G8" s="267">
        <f t="shared" ref="G8:G24" si="2">D8*E8*$F$7</f>
        <v>2.4279999999999999E-2</v>
      </c>
      <c r="H8" t="str">
        <f t="shared" si="0"/>
        <v>&lt;0,03</v>
      </c>
      <c r="L8" s="706"/>
      <c r="M8" s="706"/>
      <c r="N8" s="709"/>
      <c r="O8" s="222" t="s">
        <v>33</v>
      </c>
      <c r="P8" s="222" t="s">
        <v>34</v>
      </c>
      <c r="Q8" s="222" t="s">
        <v>35</v>
      </c>
      <c r="R8" s="227"/>
      <c r="S8" s="689"/>
      <c r="T8" s="689"/>
      <c r="U8" s="689"/>
      <c r="V8" s="689"/>
    </row>
    <row r="9" spans="1:22" ht="18.399999999999999" customHeight="1" x14ac:dyDescent="0.25">
      <c r="A9" s="1" t="str">
        <f>Minták!W7</f>
        <v>3/KIV-ADATOT BEÍRNI</v>
      </c>
      <c r="B9" s="229"/>
      <c r="C9" s="4">
        <f t="shared" ref="C9:C24" si="3">C8+0.01</f>
        <v>0.03</v>
      </c>
      <c r="D9" s="261">
        <f t="shared" si="1"/>
        <v>0.03</v>
      </c>
      <c r="E9" s="4">
        <v>1</v>
      </c>
      <c r="F9" s="269"/>
      <c r="G9" s="267">
        <f t="shared" si="2"/>
        <v>3.6420000000000001E-2</v>
      </c>
      <c r="H9" t="str">
        <f t="shared" si="0"/>
        <v>0,04</v>
      </c>
      <c r="L9" s="230" t="str">
        <f>IF(Minták!D5="","",Minták!D5)</f>
        <v>1/IV</v>
      </c>
      <c r="M9" s="263" t="str">
        <f>A30</f>
        <v>-</v>
      </c>
      <c r="N9" s="232" t="str">
        <f>IF(Minták!H5="","",Minták!H5)</f>
        <v>Nhhlz</v>
      </c>
      <c r="O9" s="234">
        <f>B7</f>
        <v>0</v>
      </c>
      <c r="P9" s="234">
        <f t="shared" ref="P9:P26" si="4">IF($A7="-","",C7)</f>
        <v>0.01</v>
      </c>
      <c r="Q9" s="234">
        <f t="shared" ref="Q9:Q26" si="5">IF($A7="-","",IFERROR(D7,"-"))</f>
        <v>0.01</v>
      </c>
      <c r="R9" s="234">
        <f>A32</f>
        <v>5</v>
      </c>
      <c r="S9" s="234">
        <f t="shared" ref="S9:S18" si="6">IFERROR(IF($A7="-","",E7),"-")</f>
        <v>1</v>
      </c>
      <c r="T9" s="234">
        <f>F7</f>
        <v>1.214</v>
      </c>
      <c r="U9" s="235" t="str">
        <f t="shared" ref="U9:U24" si="7">H7</f>
        <v>&lt;0,03</v>
      </c>
      <c r="V9" s="236"/>
    </row>
    <row r="10" spans="1:22" ht="18.399999999999999" customHeight="1" x14ac:dyDescent="0.25">
      <c r="A10" s="1" t="str">
        <f>Minták!W8</f>
        <v>4/IV-Ebnxscqc</v>
      </c>
      <c r="B10" s="229"/>
      <c r="C10" s="4">
        <f t="shared" si="3"/>
        <v>0.04</v>
      </c>
      <c r="D10" s="261">
        <f t="shared" si="1"/>
        <v>0.04</v>
      </c>
      <c r="E10" s="4">
        <v>1</v>
      </c>
      <c r="F10" s="269"/>
      <c r="G10" s="267">
        <f t="shared" si="2"/>
        <v>4.8559999999999999E-2</v>
      </c>
      <c r="H10" t="str">
        <f t="shared" si="0"/>
        <v>0,05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44"/>
      <c r="P10" s="238">
        <f t="shared" si="4"/>
        <v>0.02</v>
      </c>
      <c r="Q10" s="238">
        <f t="shared" si="5"/>
        <v>0.02</v>
      </c>
      <c r="R10" s="238"/>
      <c r="S10" s="238">
        <f t="shared" si="6"/>
        <v>1</v>
      </c>
      <c r="T10" s="238"/>
      <c r="U10" s="242" t="str">
        <f t="shared" si="7"/>
        <v>&lt;0,03</v>
      </c>
      <c r="V10" s="243"/>
    </row>
    <row r="11" spans="1:22" ht="18.399999999999999" customHeight="1" x14ac:dyDescent="0.25">
      <c r="A11" s="1" t="str">
        <f>Minták!W9</f>
        <v>5/IV-Ubqpva</v>
      </c>
      <c r="B11" s="229"/>
      <c r="C11" s="4">
        <f t="shared" si="3"/>
        <v>0.05</v>
      </c>
      <c r="D11" s="261">
        <f t="shared" si="1"/>
        <v>0.05</v>
      </c>
      <c r="E11" s="4">
        <v>1</v>
      </c>
      <c r="F11" s="269"/>
      <c r="G11" s="267">
        <f t="shared" si="2"/>
        <v>6.0700000000000004E-2</v>
      </c>
      <c r="H11" t="str">
        <f t="shared" si="0"/>
        <v>0,06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44"/>
      <c r="P11" s="238">
        <f t="shared" si="4"/>
        <v>0.03</v>
      </c>
      <c r="Q11" s="238">
        <f t="shared" si="5"/>
        <v>0.03</v>
      </c>
      <c r="R11" s="244"/>
      <c r="S11" s="238">
        <f t="shared" si="6"/>
        <v>1</v>
      </c>
      <c r="T11" s="244"/>
      <c r="U11" s="242" t="str">
        <f t="shared" si="7"/>
        <v>0,04</v>
      </c>
      <c r="V11" s="243"/>
    </row>
    <row r="12" spans="1:22" ht="18.399999999999999" customHeight="1" x14ac:dyDescent="0.25">
      <c r="A12" s="1" t="str">
        <f>Minták!W10</f>
        <v>6/IV-Eouypz</v>
      </c>
      <c r="B12" s="229"/>
      <c r="C12" s="4">
        <f t="shared" si="3"/>
        <v>6.0000000000000005E-2</v>
      </c>
      <c r="D12" s="261">
        <f t="shared" si="1"/>
        <v>6.0000000000000005E-2</v>
      </c>
      <c r="E12" s="4">
        <v>1</v>
      </c>
      <c r="F12" s="269"/>
      <c r="G12" s="267">
        <f t="shared" si="2"/>
        <v>7.2840000000000002E-2</v>
      </c>
      <c r="H12" t="str">
        <f t="shared" si="0"/>
        <v>0,07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44"/>
      <c r="P12" s="238">
        <f t="shared" si="4"/>
        <v>0.04</v>
      </c>
      <c r="Q12" s="238">
        <f t="shared" si="5"/>
        <v>0.04</v>
      </c>
      <c r="R12" s="244"/>
      <c r="S12" s="238">
        <f t="shared" si="6"/>
        <v>1</v>
      </c>
      <c r="T12" s="244"/>
      <c r="U12" s="242" t="str">
        <f t="shared" si="7"/>
        <v>0,05</v>
      </c>
      <c r="V12" s="243"/>
    </row>
    <row r="13" spans="1:22" ht="18.399999999999999" customHeight="1" x14ac:dyDescent="0.25">
      <c r="A13" s="1" t="str">
        <f>Minták!W11</f>
        <v>7/IV-Rkohqy</v>
      </c>
      <c r="B13" s="229"/>
      <c r="C13" s="4">
        <f t="shared" si="3"/>
        <v>7.0000000000000007E-2</v>
      </c>
      <c r="D13" s="261">
        <f t="shared" si="1"/>
        <v>7.0000000000000007E-2</v>
      </c>
      <c r="E13" s="4">
        <v>1</v>
      </c>
      <c r="F13" s="269"/>
      <c r="G13" s="267">
        <f t="shared" si="2"/>
        <v>8.498E-2</v>
      </c>
      <c r="H13" t="str">
        <f t="shared" si="0"/>
        <v>0,08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44"/>
      <c r="P13" s="238">
        <f t="shared" si="4"/>
        <v>0.05</v>
      </c>
      <c r="Q13" s="238">
        <f t="shared" si="5"/>
        <v>0.05</v>
      </c>
      <c r="R13" s="244"/>
      <c r="S13" s="238">
        <f t="shared" si="6"/>
        <v>1</v>
      </c>
      <c r="T13" s="244"/>
      <c r="U13" s="242" t="str">
        <f t="shared" si="7"/>
        <v>0,06</v>
      </c>
      <c r="V13" s="243"/>
    </row>
    <row r="14" spans="1:22" ht="18.399999999999999" customHeight="1" x14ac:dyDescent="0.25">
      <c r="A14" s="1" t="str">
        <f>Minták!W12</f>
        <v>8/IV-Vxhhmc</v>
      </c>
      <c r="B14" s="229"/>
      <c r="C14" s="4">
        <f t="shared" si="3"/>
        <v>0.08</v>
      </c>
      <c r="D14" s="261">
        <f t="shared" si="1"/>
        <v>0.08</v>
      </c>
      <c r="E14" s="4">
        <v>1</v>
      </c>
      <c r="F14" s="269"/>
      <c r="G14" s="267">
        <f t="shared" si="2"/>
        <v>9.7119999999999998E-2</v>
      </c>
      <c r="H14" t="str">
        <f t="shared" si="0"/>
        <v>0,10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44"/>
      <c r="P14" s="238">
        <f t="shared" si="4"/>
        <v>6.0000000000000005E-2</v>
      </c>
      <c r="Q14" s="238">
        <f t="shared" si="5"/>
        <v>6.0000000000000005E-2</v>
      </c>
      <c r="R14" s="244"/>
      <c r="S14" s="238">
        <f t="shared" si="6"/>
        <v>1</v>
      </c>
      <c r="T14" s="244"/>
      <c r="U14" s="242" t="str">
        <f t="shared" si="7"/>
        <v>0,07</v>
      </c>
      <c r="V14" s="243"/>
    </row>
    <row r="15" spans="1:22" ht="18.399999999999999" customHeight="1" x14ac:dyDescent="0.25">
      <c r="A15" s="1" t="str">
        <f>Minták!W13</f>
        <v>9/IV-Msdxtl</v>
      </c>
      <c r="B15" s="229"/>
      <c r="C15" s="4">
        <f t="shared" si="3"/>
        <v>0.09</v>
      </c>
      <c r="D15" s="261">
        <f t="shared" si="1"/>
        <v>0.09</v>
      </c>
      <c r="E15" s="4">
        <v>1</v>
      </c>
      <c r="F15" s="269"/>
      <c r="G15" s="267">
        <f t="shared" si="2"/>
        <v>0.10926</v>
      </c>
      <c r="H15" t="str">
        <f t="shared" si="0"/>
        <v>0,11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44"/>
      <c r="P15" s="238">
        <f t="shared" si="4"/>
        <v>7.0000000000000007E-2</v>
      </c>
      <c r="Q15" s="238">
        <f t="shared" si="5"/>
        <v>7.0000000000000007E-2</v>
      </c>
      <c r="R15" s="244"/>
      <c r="S15" s="238">
        <f t="shared" si="6"/>
        <v>1</v>
      </c>
      <c r="T15" s="244"/>
      <c r="U15" s="242" t="str">
        <f t="shared" si="7"/>
        <v>0,08</v>
      </c>
      <c r="V15" s="243"/>
    </row>
    <row r="16" spans="1:22" ht="18.399999999999999" customHeight="1" x14ac:dyDescent="0.25">
      <c r="A16" s="1" t="str">
        <f>Minták!W14</f>
        <v>10/IV-Qoldnt</v>
      </c>
      <c r="B16" s="229"/>
      <c r="C16" s="4">
        <f t="shared" si="3"/>
        <v>9.9999999999999992E-2</v>
      </c>
      <c r="D16" s="261">
        <f t="shared" si="1"/>
        <v>9.9999999999999992E-2</v>
      </c>
      <c r="E16" s="4">
        <v>1</v>
      </c>
      <c r="F16" s="269"/>
      <c r="G16" s="267">
        <f t="shared" si="2"/>
        <v>0.12139999999999998</v>
      </c>
      <c r="H16" t="str">
        <f t="shared" si="0"/>
        <v>0,12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44"/>
      <c r="P16" s="238">
        <f t="shared" si="4"/>
        <v>0.08</v>
      </c>
      <c r="Q16" s="238">
        <f t="shared" si="5"/>
        <v>0.08</v>
      </c>
      <c r="R16" s="244"/>
      <c r="S16" s="238">
        <f t="shared" si="6"/>
        <v>1</v>
      </c>
      <c r="T16" s="244"/>
      <c r="U16" s="242" t="str">
        <f t="shared" si="7"/>
        <v>0,10</v>
      </c>
      <c r="V16" s="270"/>
    </row>
    <row r="17" spans="1:22" ht="18.399999999999999" customHeight="1" x14ac:dyDescent="0.25">
      <c r="A17" s="1" t="str">
        <f>Minták!W15</f>
        <v>11/IV-Qnvptf</v>
      </c>
      <c r="B17" s="229"/>
      <c r="C17" s="4">
        <f t="shared" si="3"/>
        <v>0.10999999999999999</v>
      </c>
      <c r="D17" s="261">
        <f t="shared" si="1"/>
        <v>0.10999999999999999</v>
      </c>
      <c r="E17" s="4">
        <v>1</v>
      </c>
      <c r="F17" s="269"/>
      <c r="G17" s="267">
        <f t="shared" si="2"/>
        <v>0.13353999999999999</v>
      </c>
      <c r="H17" t="str">
        <f t="shared" si="0"/>
        <v>0,13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44"/>
      <c r="P17" s="238">
        <f t="shared" si="4"/>
        <v>0.09</v>
      </c>
      <c r="Q17" s="238">
        <f t="shared" si="5"/>
        <v>0.09</v>
      </c>
      <c r="R17" s="244"/>
      <c r="S17" s="238">
        <f t="shared" si="6"/>
        <v>1</v>
      </c>
      <c r="T17" s="244"/>
      <c r="U17" s="242" t="str">
        <f t="shared" si="7"/>
        <v>0,11</v>
      </c>
      <c r="V17" s="270"/>
    </row>
    <row r="18" spans="1:22" ht="18.399999999999999" customHeight="1" x14ac:dyDescent="0.25">
      <c r="A18" s="1" t="str">
        <f>Minták!W16</f>
        <v>12/IV-Lebdoq</v>
      </c>
      <c r="B18" s="229"/>
      <c r="C18" s="4">
        <f t="shared" si="3"/>
        <v>0.11999999999999998</v>
      </c>
      <c r="D18" s="261">
        <f t="shared" si="1"/>
        <v>0.11999999999999998</v>
      </c>
      <c r="E18" s="4">
        <v>1</v>
      </c>
      <c r="F18" s="269"/>
      <c r="G18" s="267">
        <f t="shared" si="2"/>
        <v>0.14567999999999998</v>
      </c>
      <c r="H18" t="str">
        <f t="shared" si="0"/>
        <v>0,15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44"/>
      <c r="P18" s="238">
        <f t="shared" si="4"/>
        <v>9.9999999999999992E-2</v>
      </c>
      <c r="Q18" s="238">
        <f t="shared" si="5"/>
        <v>9.9999999999999992E-2</v>
      </c>
      <c r="R18" s="244"/>
      <c r="S18" s="238">
        <f t="shared" si="6"/>
        <v>1</v>
      </c>
      <c r="T18" s="244"/>
      <c r="U18" s="242" t="str">
        <f t="shared" si="7"/>
        <v>0,12</v>
      </c>
      <c r="V18" s="243"/>
    </row>
    <row r="19" spans="1:22" ht="18.399999999999999" customHeight="1" x14ac:dyDescent="0.25">
      <c r="A19" s="1" t="str">
        <f>Minták!W17</f>
        <v>13/IV-Askfua</v>
      </c>
      <c r="B19" s="229"/>
      <c r="C19" s="4">
        <f t="shared" si="3"/>
        <v>0.12999999999999998</v>
      </c>
      <c r="D19" s="261">
        <f t="shared" si="1"/>
        <v>0.12999999999999998</v>
      </c>
      <c r="E19" s="4">
        <v>1</v>
      </c>
      <c r="F19" s="269"/>
      <c r="G19" s="267">
        <f t="shared" si="2"/>
        <v>0.15781999999999996</v>
      </c>
      <c r="H19" t="str">
        <f t="shared" si="0"/>
        <v>0,16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44"/>
      <c r="P19" s="238">
        <f t="shared" si="4"/>
        <v>0.10999999999999999</v>
      </c>
      <c r="Q19" s="238">
        <f t="shared" si="5"/>
        <v>0.10999999999999999</v>
      </c>
      <c r="R19" s="244"/>
      <c r="S19" s="238">
        <f t="shared" ref="S19:S26" si="8">IFERROR(IF($A17="-","",E17),"-")</f>
        <v>1</v>
      </c>
      <c r="T19" s="244"/>
      <c r="U19" s="242" t="str">
        <f t="shared" si="7"/>
        <v>0,13</v>
      </c>
      <c r="V19" s="243"/>
    </row>
    <row r="20" spans="1:22" ht="18.399999999999999" customHeight="1" x14ac:dyDescent="0.25">
      <c r="A20" s="1" t="str">
        <f>Minták!W18</f>
        <v>14/IV-Mcsjny</v>
      </c>
      <c r="B20" s="229"/>
      <c r="C20" s="4">
        <f t="shared" si="3"/>
        <v>0.13999999999999999</v>
      </c>
      <c r="D20" s="261">
        <f t="shared" si="1"/>
        <v>0.13999999999999999</v>
      </c>
      <c r="E20" s="4">
        <v>1</v>
      </c>
      <c r="F20" s="269"/>
      <c r="G20" s="267">
        <f t="shared" si="2"/>
        <v>0.16995999999999997</v>
      </c>
      <c r="H20" t="str">
        <f t="shared" si="0"/>
        <v>0,17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44"/>
      <c r="P20" s="238">
        <f t="shared" si="4"/>
        <v>0.11999999999999998</v>
      </c>
      <c r="Q20" s="238">
        <f t="shared" si="5"/>
        <v>0.11999999999999998</v>
      </c>
      <c r="R20" s="244"/>
      <c r="S20" s="238">
        <f t="shared" si="8"/>
        <v>1</v>
      </c>
      <c r="T20" s="244"/>
      <c r="U20" s="242" t="str">
        <f t="shared" si="7"/>
        <v>0,15</v>
      </c>
      <c r="V20" s="270"/>
    </row>
    <row r="21" spans="1:22" ht="18.399999999999999" customHeight="1" x14ac:dyDescent="0.25">
      <c r="A21" s="1" t="str">
        <f>Minták!W19</f>
        <v>15/IV-Rskdom</v>
      </c>
      <c r="B21" s="229"/>
      <c r="C21" s="4">
        <f t="shared" si="3"/>
        <v>0.15</v>
      </c>
      <c r="D21" s="261">
        <f t="shared" si="1"/>
        <v>0.15</v>
      </c>
      <c r="E21" s="4">
        <v>1</v>
      </c>
      <c r="F21" s="269"/>
      <c r="G21" s="267">
        <f t="shared" si="2"/>
        <v>0.18209999999999998</v>
      </c>
      <c r="H21" t="str">
        <f t="shared" si="0"/>
        <v>0,18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44"/>
      <c r="P21" s="238">
        <f t="shared" si="4"/>
        <v>0.12999999999999998</v>
      </c>
      <c r="Q21" s="238">
        <f t="shared" si="5"/>
        <v>0.12999999999999998</v>
      </c>
      <c r="R21" s="244"/>
      <c r="S21" s="238">
        <f t="shared" si="8"/>
        <v>1</v>
      </c>
      <c r="T21" s="244"/>
      <c r="U21" s="242" t="str">
        <f t="shared" si="7"/>
        <v>0,16</v>
      </c>
      <c r="V21" s="270"/>
    </row>
    <row r="22" spans="1:22" ht="18.399999999999999" customHeight="1" x14ac:dyDescent="0.25">
      <c r="A22" s="1" t="str">
        <f>Minták!W20</f>
        <v>16/IV-Jyhjzbmb</v>
      </c>
      <c r="B22" s="229"/>
      <c r="C22" s="4">
        <f t="shared" si="3"/>
        <v>0.16</v>
      </c>
      <c r="D22" s="261">
        <f t="shared" si="1"/>
        <v>0.16</v>
      </c>
      <c r="E22" s="4">
        <v>1</v>
      </c>
      <c r="F22" s="269"/>
      <c r="G22" s="267">
        <f t="shared" si="2"/>
        <v>0.19424</v>
      </c>
      <c r="H22" t="str">
        <f t="shared" si="0"/>
        <v>0,19</v>
      </c>
      <c r="L22" s="237" t="str">
        <f>IF(Minták!D18="","",Minták!D18)</f>
        <v>14/IV</v>
      </c>
      <c r="M22" s="244"/>
      <c r="N22" s="246" t="str">
        <f>IF(Minták!H18="","",Minták!H18)</f>
        <v>Mcsjny</v>
      </c>
      <c r="O22" s="244"/>
      <c r="P22" s="238">
        <f t="shared" si="4"/>
        <v>0.13999999999999999</v>
      </c>
      <c r="Q22" s="238">
        <f t="shared" si="5"/>
        <v>0.13999999999999999</v>
      </c>
      <c r="R22" s="244"/>
      <c r="S22" s="238">
        <f t="shared" si="8"/>
        <v>1</v>
      </c>
      <c r="T22" s="244"/>
      <c r="U22" s="242" t="str">
        <f t="shared" si="7"/>
        <v>0,17</v>
      </c>
      <c r="V22" s="243"/>
    </row>
    <row r="23" spans="1:22" ht="18.399999999999999" customHeight="1" x14ac:dyDescent="0.25">
      <c r="A23" s="18" t="s">
        <v>144</v>
      </c>
      <c r="B23" s="229"/>
      <c r="C23" s="4">
        <f t="shared" si="3"/>
        <v>0.17</v>
      </c>
      <c r="D23" s="261">
        <f t="shared" si="1"/>
        <v>0.17</v>
      </c>
      <c r="E23" s="4">
        <v>1</v>
      </c>
      <c r="F23" s="269"/>
      <c r="G23" s="267">
        <f t="shared" si="2"/>
        <v>0.20638000000000001</v>
      </c>
      <c r="H23" s="52">
        <f>ROUND(((G23*100)/VLOOKUP(A23,$D$30:$F$32,3,FALSE)),1)</f>
        <v>412.8</v>
      </c>
      <c r="I23" s="52"/>
      <c r="J23" s="52"/>
      <c r="K23" t="s">
        <v>15</v>
      </c>
      <c r="L23" s="237" t="str">
        <f>IF(Minták!D19="","",Minták!D19)</f>
        <v>15/IV</v>
      </c>
      <c r="M23" s="244"/>
      <c r="N23" s="246" t="str">
        <f>IF(Minták!H19="","",Minták!H19)</f>
        <v>Rskdom</v>
      </c>
      <c r="O23" s="244"/>
      <c r="P23" s="238">
        <f t="shared" si="4"/>
        <v>0.15</v>
      </c>
      <c r="Q23" s="238">
        <f t="shared" si="5"/>
        <v>0.15</v>
      </c>
      <c r="R23" s="244"/>
      <c r="S23" s="238">
        <f t="shared" si="8"/>
        <v>1</v>
      </c>
      <c r="T23" s="244"/>
      <c r="U23" s="242" t="str">
        <f t="shared" si="7"/>
        <v>0,18</v>
      </c>
      <c r="V23" s="243"/>
    </row>
    <row r="24" spans="1:22" ht="18.399999999999999" customHeight="1" x14ac:dyDescent="0.25">
      <c r="A24" s="18" t="s">
        <v>145</v>
      </c>
      <c r="B24" s="67"/>
      <c r="C24" s="4">
        <f t="shared" si="3"/>
        <v>0.18000000000000002</v>
      </c>
      <c r="D24" s="261">
        <f t="shared" si="1"/>
        <v>0.18000000000000002</v>
      </c>
      <c r="E24" s="4">
        <v>1</v>
      </c>
      <c r="F24" s="271"/>
      <c r="G24" s="267">
        <f t="shared" si="2"/>
        <v>0.21852000000000002</v>
      </c>
      <c r="H24" s="52">
        <f>ROUND(((G24*100)/VLOOKUP(A24,$D$30:$F$32,3,FALSE)),1)</f>
        <v>109.3</v>
      </c>
      <c r="I24" s="52"/>
      <c r="J24" s="52"/>
      <c r="K24" t="s">
        <v>15</v>
      </c>
      <c r="L24" s="237" t="str">
        <f>IF(Minták!D20="","",Minták!D20)</f>
        <v>16/IV</v>
      </c>
      <c r="M24" s="249"/>
      <c r="N24" s="250" t="str">
        <f>IF(Minták!H20="","",Minták!H20)</f>
        <v>Jyhjzbmb</v>
      </c>
      <c r="O24" s="249"/>
      <c r="P24" s="238">
        <f t="shared" si="4"/>
        <v>0.16</v>
      </c>
      <c r="Q24" s="238">
        <f t="shared" si="5"/>
        <v>0.16</v>
      </c>
      <c r="R24" s="249"/>
      <c r="S24" s="238">
        <f t="shared" si="8"/>
        <v>1</v>
      </c>
      <c r="T24" s="249"/>
      <c r="U24" s="242" t="str">
        <f t="shared" si="7"/>
        <v>0,19</v>
      </c>
      <c r="V24" s="272"/>
    </row>
    <row r="25" spans="1:22" ht="18.399999999999999" customHeight="1" x14ac:dyDescent="0.25">
      <c r="L25" s="253"/>
      <c r="M25" s="249"/>
      <c r="N25" s="273" t="str">
        <f>A23</f>
        <v>QC1 (0,05)</v>
      </c>
      <c r="O25" s="249"/>
      <c r="P25" s="238">
        <f t="shared" si="4"/>
        <v>0.17</v>
      </c>
      <c r="Q25" s="238">
        <f t="shared" si="5"/>
        <v>0.17</v>
      </c>
      <c r="R25" s="249"/>
      <c r="S25" s="238">
        <f t="shared" si="8"/>
        <v>1</v>
      </c>
      <c r="T25" s="249"/>
      <c r="U25" s="242">
        <f>IF($A23="-","",IFERROR(G23,"-"))</f>
        <v>0.20638000000000001</v>
      </c>
      <c r="V25" s="252" t="str">
        <f>CONCATENATE(ROUND(H23,1),"%")</f>
        <v>412,8%</v>
      </c>
    </row>
    <row r="26" spans="1:22" ht="18.399999999999999" customHeight="1" thickBot="1" x14ac:dyDescent="0.3">
      <c r="L26" s="254"/>
      <c r="M26" s="255"/>
      <c r="N26" s="274" t="str">
        <f>A24</f>
        <v>QC2 (0,2)</v>
      </c>
      <c r="O26" s="255"/>
      <c r="P26" s="258">
        <f t="shared" si="4"/>
        <v>0.18000000000000002</v>
      </c>
      <c r="Q26" s="258">
        <f t="shared" si="5"/>
        <v>0.18000000000000002</v>
      </c>
      <c r="R26" s="255"/>
      <c r="S26" s="258">
        <f t="shared" si="8"/>
        <v>1</v>
      </c>
      <c r="T26" s="255"/>
      <c r="U26" s="259">
        <f>IF($A24="-","",IFERROR(G24,"-"))</f>
        <v>0.21852000000000002</v>
      </c>
      <c r="V26" s="214" t="str">
        <f>CONCATENATE(ROUND(H24,1),"%")</f>
        <v>109,3%</v>
      </c>
    </row>
    <row r="29" spans="1:22" ht="18.399999999999999" customHeight="1" x14ac:dyDescent="0.25">
      <c r="A29" t="s">
        <v>24</v>
      </c>
      <c r="D29" t="s">
        <v>85</v>
      </c>
      <c r="F29" t="s">
        <v>87</v>
      </c>
      <c r="R29" s="15" t="s">
        <v>38</v>
      </c>
    </row>
    <row r="30" spans="1:22" ht="18.399999999999999" customHeight="1" x14ac:dyDescent="0.25">
      <c r="A30" s="9" t="s">
        <v>44</v>
      </c>
      <c r="D30" s="1" t="str">
        <f>Minták!DW7</f>
        <v>QC1 (0,05)</v>
      </c>
      <c r="F30" s="1">
        <f>Minták!DX7</f>
        <v>0.05</v>
      </c>
    </row>
    <row r="31" spans="1:22" ht="18.399999999999999" customHeight="1" x14ac:dyDescent="0.25">
      <c r="A31" t="s">
        <v>36</v>
      </c>
      <c r="D31" s="1" t="str">
        <f>Minták!DY7</f>
        <v>QC2 (0,2)</v>
      </c>
      <c r="F31" s="1">
        <f>Minták!DZ7</f>
        <v>0.2</v>
      </c>
    </row>
    <row r="32" spans="1:22" ht="18.399999999999999" customHeight="1" x14ac:dyDescent="0.25">
      <c r="A32" s="1">
        <f>Minták!DS7</f>
        <v>5</v>
      </c>
      <c r="B32" t="s">
        <v>37</v>
      </c>
      <c r="D32" s="1" t="str">
        <f>Minták!EA7</f>
        <v>QC3 (0,5)</v>
      </c>
      <c r="F32" s="1">
        <f>Minták!EB7</f>
        <v>0.5</v>
      </c>
    </row>
    <row r="33" spans="1:2" ht="18.399999999999999" customHeight="1" x14ac:dyDescent="0.25">
      <c r="A33" t="s">
        <v>54</v>
      </c>
      <c r="B33" s="260">
        <f>Minták!DU7</f>
        <v>0.03</v>
      </c>
    </row>
    <row r="34" spans="1:2" ht="18.399999999999999" customHeight="1" x14ac:dyDescent="0.25">
      <c r="A34" t="s">
        <v>55</v>
      </c>
      <c r="B34" s="1" t="str">
        <f>Minták!DV7</f>
        <v>képlet</v>
      </c>
    </row>
    <row r="35" spans="1:2" ht="18.399999999999999" customHeight="1" x14ac:dyDescent="0.25">
      <c r="A35" t="s">
        <v>135</v>
      </c>
      <c r="B35" s="1" t="str">
        <f>Minták!DT7</f>
        <v>-</v>
      </c>
    </row>
  </sheetData>
  <sheetProtection algorithmName="SHA-512" hashValue="bP9e0S3uNpOEt7OUKD3cYLrCwBztW50SR64WZw3H1aWQy9GMHy5PR96Hs6IIIkGAgMjRGRw7SQqN+dPxaYzstg==" saltValue="WU5kpNFXJ3Nnsh/bcx//Ug==" spinCount="100000" sheet="1" objects="1" scenarios="1"/>
  <mergeCells count="18">
    <mergeCell ref="A1:G2"/>
    <mergeCell ref="L1:M4"/>
    <mergeCell ref="N1:U4"/>
    <mergeCell ref="A3:A6"/>
    <mergeCell ref="B3:B6"/>
    <mergeCell ref="C3:C6"/>
    <mergeCell ref="D3:D6"/>
    <mergeCell ref="E3:E6"/>
    <mergeCell ref="F3:F6"/>
    <mergeCell ref="G3:G6"/>
    <mergeCell ref="U6:U8"/>
    <mergeCell ref="V6:V8"/>
    <mergeCell ref="L6:L8"/>
    <mergeCell ref="M6:M8"/>
    <mergeCell ref="N6:N8"/>
    <mergeCell ref="O6:Q7"/>
    <mergeCell ref="S6:S8"/>
    <mergeCell ref="T6:T8"/>
  </mergeCells>
  <pageMargins left="0.7" right="0.7" top="0.75" bottom="0.75" header="0.3" footer="0.3"/>
  <pageSetup paperSize="9" scale="90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6">
    <pageSetUpPr fitToPage="1"/>
  </sheetPr>
  <dimension ref="A1:V35"/>
  <sheetViews>
    <sheetView zoomScale="96" zoomScaleNormal="96" workbookViewId="0">
      <selection activeCell="E7" sqref="E7:E24"/>
    </sheetView>
  </sheetViews>
  <sheetFormatPr defaultColWidth="9.140625" defaultRowHeight="18.399999999999999" customHeight="1" x14ac:dyDescent="0.25"/>
  <cols>
    <col min="1" max="1" width="33" customWidth="1"/>
    <col min="7" max="7" width="18.28515625" customWidth="1"/>
    <col min="11" max="11" width="9.140625" customWidth="1"/>
    <col min="12" max="12" width="9.140625" style="82"/>
    <col min="13" max="13" width="13.85546875" style="82" customWidth="1"/>
    <col min="14" max="14" width="27.5703125" style="82" customWidth="1"/>
    <col min="15" max="18" width="9.140625" style="82"/>
    <col min="19" max="19" width="11.85546875" style="82" customWidth="1"/>
    <col min="20" max="20" width="9.140625" style="82"/>
    <col min="21" max="21" width="17.5703125" style="82" customWidth="1"/>
    <col min="22" max="22" width="19.7109375" style="82" customWidth="1"/>
  </cols>
  <sheetData>
    <row r="1" spans="1:22" ht="18.399999999999999" customHeight="1" x14ac:dyDescent="0.25">
      <c r="A1" s="529" t="s">
        <v>146</v>
      </c>
      <c r="B1" s="529"/>
      <c r="C1" s="529"/>
      <c r="D1" s="529"/>
      <c r="E1" s="529"/>
      <c r="F1" s="529"/>
      <c r="G1" s="529"/>
      <c r="L1" s="718" t="s">
        <v>319</v>
      </c>
      <c r="M1" s="690"/>
      <c r="N1" s="695" t="s">
        <v>349</v>
      </c>
      <c r="O1" s="696"/>
      <c r="P1" s="696"/>
      <c r="Q1" s="696"/>
      <c r="R1" s="696"/>
      <c r="S1" s="696"/>
      <c r="T1" s="696"/>
      <c r="U1" s="697"/>
      <c r="V1" s="219" t="s">
        <v>338</v>
      </c>
    </row>
    <row r="2" spans="1:22" ht="18.399999999999999" customHeight="1" x14ac:dyDescent="0.25">
      <c r="A2" s="529"/>
      <c r="B2" s="529"/>
      <c r="C2" s="529"/>
      <c r="D2" s="529"/>
      <c r="E2" s="529"/>
      <c r="F2" s="529"/>
      <c r="G2" s="529"/>
      <c r="L2" s="691"/>
      <c r="M2" s="692"/>
      <c r="N2" s="698"/>
      <c r="O2" s="699"/>
      <c r="P2" s="699"/>
      <c r="Q2" s="699"/>
      <c r="R2" s="699"/>
      <c r="S2" s="699"/>
      <c r="T2" s="699"/>
      <c r="U2" s="700"/>
      <c r="V2" s="220" t="s">
        <v>320</v>
      </c>
    </row>
    <row r="3" spans="1:22" ht="18.399999999999999" customHeight="1" x14ac:dyDescent="0.25">
      <c r="A3" s="508" t="s">
        <v>2</v>
      </c>
      <c r="B3" s="508" t="s">
        <v>4</v>
      </c>
      <c r="C3" s="508" t="s">
        <v>10</v>
      </c>
      <c r="D3" s="508" t="s">
        <v>0</v>
      </c>
      <c r="E3" s="508" t="s">
        <v>1</v>
      </c>
      <c r="F3" s="508" t="s">
        <v>5</v>
      </c>
      <c r="G3" s="508" t="s">
        <v>147</v>
      </c>
      <c r="L3" s="691"/>
      <c r="M3" s="692"/>
      <c r="N3" s="698"/>
      <c r="O3" s="699"/>
      <c r="P3" s="699"/>
      <c r="Q3" s="699"/>
      <c r="R3" s="699"/>
      <c r="S3" s="699"/>
      <c r="T3" s="699"/>
      <c r="U3" s="700"/>
      <c r="V3" s="220" t="s">
        <v>706</v>
      </c>
    </row>
    <row r="4" spans="1:22" ht="18.399999999999999" customHeight="1" x14ac:dyDescent="0.25">
      <c r="A4" s="508"/>
      <c r="B4" s="508"/>
      <c r="C4" s="508"/>
      <c r="D4" s="508"/>
      <c r="E4" s="508"/>
      <c r="F4" s="508"/>
      <c r="G4" s="508"/>
      <c r="L4" s="693"/>
      <c r="M4" s="694"/>
      <c r="N4" s="701"/>
      <c r="O4" s="702"/>
      <c r="P4" s="702"/>
      <c r="Q4" s="702"/>
      <c r="R4" s="702"/>
      <c r="S4" s="702"/>
      <c r="T4" s="702"/>
      <c r="U4" s="703"/>
      <c r="V4" s="221" t="s">
        <v>324</v>
      </c>
    </row>
    <row r="5" spans="1:22" ht="18.399999999999999" customHeight="1" thickBot="1" x14ac:dyDescent="0.3">
      <c r="A5" s="508"/>
      <c r="B5" s="508"/>
      <c r="C5" s="508"/>
      <c r="D5" s="508"/>
      <c r="E5" s="508"/>
      <c r="F5" s="508"/>
      <c r="G5" s="508"/>
    </row>
    <row r="6" spans="1:22" ht="18.399999999999999" customHeight="1" thickBot="1" x14ac:dyDescent="0.3">
      <c r="A6" s="717"/>
      <c r="B6" s="717"/>
      <c r="C6" s="717"/>
      <c r="D6" s="717"/>
      <c r="E6" s="717"/>
      <c r="F6" s="717"/>
      <c r="G6" s="717"/>
      <c r="L6" s="704" t="s">
        <v>25</v>
      </c>
      <c r="M6" s="704" t="s">
        <v>26</v>
      </c>
      <c r="N6" s="707" t="s">
        <v>27</v>
      </c>
      <c r="O6" s="710" t="s">
        <v>28</v>
      </c>
      <c r="P6" s="711"/>
      <c r="Q6" s="712"/>
      <c r="R6" s="222" t="s">
        <v>29</v>
      </c>
      <c r="S6" s="688" t="s">
        <v>1</v>
      </c>
      <c r="T6" s="688" t="s">
        <v>5</v>
      </c>
      <c r="U6" s="688" t="s">
        <v>248</v>
      </c>
      <c r="V6" s="688" t="s">
        <v>32</v>
      </c>
    </row>
    <row r="7" spans="1:22" ht="18.399999999999999" customHeight="1" thickBot="1" x14ac:dyDescent="0.3">
      <c r="A7" s="1" t="str">
        <f>Minták!W5</f>
        <v>1/IV-Nhhlz</v>
      </c>
      <c r="B7" s="6">
        <v>0</v>
      </c>
      <c r="C7" s="4">
        <v>0.01</v>
      </c>
      <c r="D7" s="261">
        <f>C7-$B$7</f>
        <v>0.01</v>
      </c>
      <c r="E7" s="4">
        <v>1</v>
      </c>
      <c r="F7" s="19">
        <v>1.3321000000000001</v>
      </c>
      <c r="G7" s="267">
        <f>D7*E7*$F$7</f>
        <v>1.3321000000000001E-2</v>
      </c>
      <c r="H7" t="str">
        <f t="shared" ref="H7:H22" si="0">IFERROR(IF(G7&lt;VALUE(B$33),CONCATENATE("&lt;",B$33),IF(G7&lt;10,FIXED(G7,2),IF(G7&lt;100,FIXED(G7,1),IF(G7&lt;1000,FIXED(G7,0),FIXED(G7,-1))))),"-")</f>
        <v>&lt;0,03</v>
      </c>
      <c r="L7" s="705"/>
      <c r="M7" s="705"/>
      <c r="N7" s="708"/>
      <c r="O7" s="713"/>
      <c r="P7" s="714"/>
      <c r="Q7" s="715"/>
      <c r="R7" s="225" t="s">
        <v>30</v>
      </c>
      <c r="S7" s="689"/>
      <c r="T7" s="689"/>
      <c r="U7" s="689"/>
      <c r="V7" s="689"/>
    </row>
    <row r="8" spans="1:22" ht="18.399999999999999" customHeight="1" thickBot="1" x14ac:dyDescent="0.3">
      <c r="A8" s="1" t="str">
        <f>Minták!W6</f>
        <v>2/IV-ADATOT BEÍRNI</v>
      </c>
      <c r="B8" s="147"/>
      <c r="C8" s="4">
        <f>C7+0.01</f>
        <v>0.02</v>
      </c>
      <c r="D8" s="261">
        <f t="shared" ref="D8:D24" si="1">C8-$B$7</f>
        <v>0.02</v>
      </c>
      <c r="E8" s="4">
        <v>1</v>
      </c>
      <c r="F8" s="268"/>
      <c r="G8" s="267">
        <f t="shared" ref="G8:G24" si="2">D8*E8*$F$7</f>
        <v>2.6642000000000002E-2</v>
      </c>
      <c r="H8" t="str">
        <f t="shared" si="0"/>
        <v>&lt;0,03</v>
      </c>
      <c r="L8" s="706"/>
      <c r="M8" s="706"/>
      <c r="N8" s="709"/>
      <c r="O8" s="222" t="s">
        <v>33</v>
      </c>
      <c r="P8" s="222" t="s">
        <v>34</v>
      </c>
      <c r="Q8" s="222" t="s">
        <v>35</v>
      </c>
      <c r="R8" s="227"/>
      <c r="S8" s="689"/>
      <c r="T8" s="689"/>
      <c r="U8" s="689"/>
      <c r="V8" s="689"/>
    </row>
    <row r="9" spans="1:22" ht="18.399999999999999" customHeight="1" x14ac:dyDescent="0.25">
      <c r="A9" s="1" t="str">
        <f>Minták!W7</f>
        <v>3/KIV-ADATOT BEÍRNI</v>
      </c>
      <c r="B9" s="229"/>
      <c r="C9" s="4">
        <f t="shared" ref="C9:C24" si="3">C8+0.01</f>
        <v>0.03</v>
      </c>
      <c r="D9" s="261">
        <f t="shared" si="1"/>
        <v>0.03</v>
      </c>
      <c r="E9" s="4">
        <v>1</v>
      </c>
      <c r="F9" s="269"/>
      <c r="G9" s="267">
        <f t="shared" si="2"/>
        <v>3.9962999999999999E-2</v>
      </c>
      <c r="H9" t="str">
        <f t="shared" si="0"/>
        <v>0,04</v>
      </c>
      <c r="L9" s="230" t="str">
        <f>IF(Minták!D5="","",Minták!D5)</f>
        <v>1/IV</v>
      </c>
      <c r="M9" s="263" t="str">
        <f>A30</f>
        <v>-</v>
      </c>
      <c r="N9" s="232" t="str">
        <f>IF(Minták!H5="","",Minták!H5)</f>
        <v>Nhhlz</v>
      </c>
      <c r="O9" s="234">
        <f>B7</f>
        <v>0</v>
      </c>
      <c r="P9" s="234">
        <f t="shared" ref="P9:P26" si="4">IF($A7="-","",C7)</f>
        <v>0.01</v>
      </c>
      <c r="Q9" s="234">
        <f t="shared" ref="Q9:Q26" si="5">IF($A7="-","",IFERROR(D7,"-"))</f>
        <v>0.01</v>
      </c>
      <c r="R9" s="234">
        <f>A32</f>
        <v>5</v>
      </c>
      <c r="S9" s="234">
        <f t="shared" ref="S9:S18" si="6">IFERROR(IF($A7="-","",E7),"-")</f>
        <v>1</v>
      </c>
      <c r="T9" s="234">
        <f>F7</f>
        <v>1.3321000000000001</v>
      </c>
      <c r="U9" s="235" t="str">
        <f t="shared" ref="U9:U24" si="7">H7</f>
        <v>&lt;0,03</v>
      </c>
      <c r="V9" s="236"/>
    </row>
    <row r="10" spans="1:22" ht="18.399999999999999" customHeight="1" x14ac:dyDescent="0.25">
      <c r="A10" s="1" t="str">
        <f>Minták!W8</f>
        <v>4/IV-Ebnxscqc</v>
      </c>
      <c r="B10" s="229"/>
      <c r="C10" s="4">
        <f t="shared" si="3"/>
        <v>0.04</v>
      </c>
      <c r="D10" s="261">
        <f t="shared" si="1"/>
        <v>0.04</v>
      </c>
      <c r="E10" s="4">
        <v>1</v>
      </c>
      <c r="F10" s="269"/>
      <c r="G10" s="267">
        <f t="shared" si="2"/>
        <v>5.3284000000000005E-2</v>
      </c>
      <c r="H10" t="str">
        <f t="shared" si="0"/>
        <v>0,05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44"/>
      <c r="P10" s="238">
        <f t="shared" si="4"/>
        <v>0.02</v>
      </c>
      <c r="Q10" s="238">
        <f t="shared" si="5"/>
        <v>0.02</v>
      </c>
      <c r="R10" s="238"/>
      <c r="S10" s="238">
        <f t="shared" si="6"/>
        <v>1</v>
      </c>
      <c r="T10" s="238"/>
      <c r="U10" s="242" t="str">
        <f t="shared" si="7"/>
        <v>&lt;0,03</v>
      </c>
      <c r="V10" s="243"/>
    </row>
    <row r="11" spans="1:22" ht="18.399999999999999" customHeight="1" x14ac:dyDescent="0.25">
      <c r="A11" s="1" t="str">
        <f>Minták!W9</f>
        <v>5/IV-Ubqpva</v>
      </c>
      <c r="B11" s="229"/>
      <c r="C11" s="4">
        <f t="shared" si="3"/>
        <v>0.05</v>
      </c>
      <c r="D11" s="261">
        <f t="shared" si="1"/>
        <v>0.05</v>
      </c>
      <c r="E11" s="4">
        <v>1</v>
      </c>
      <c r="F11" s="269"/>
      <c r="G11" s="267">
        <f t="shared" si="2"/>
        <v>6.6605000000000011E-2</v>
      </c>
      <c r="H11" t="str">
        <f t="shared" si="0"/>
        <v>0,07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44"/>
      <c r="P11" s="238">
        <f t="shared" si="4"/>
        <v>0.03</v>
      </c>
      <c r="Q11" s="238">
        <f t="shared" si="5"/>
        <v>0.03</v>
      </c>
      <c r="R11" s="244"/>
      <c r="S11" s="238">
        <f t="shared" si="6"/>
        <v>1</v>
      </c>
      <c r="T11" s="244"/>
      <c r="U11" s="242" t="str">
        <f t="shared" si="7"/>
        <v>0,04</v>
      </c>
      <c r="V11" s="243"/>
    </row>
    <row r="12" spans="1:22" ht="18.399999999999999" customHeight="1" x14ac:dyDescent="0.25">
      <c r="A12" s="1" t="str">
        <f>Minták!W10</f>
        <v>6/IV-Eouypz</v>
      </c>
      <c r="B12" s="229"/>
      <c r="C12" s="4">
        <f t="shared" si="3"/>
        <v>6.0000000000000005E-2</v>
      </c>
      <c r="D12" s="261">
        <f t="shared" si="1"/>
        <v>6.0000000000000005E-2</v>
      </c>
      <c r="E12" s="4">
        <v>1</v>
      </c>
      <c r="F12" s="269"/>
      <c r="G12" s="267">
        <f t="shared" si="2"/>
        <v>7.9926000000000011E-2</v>
      </c>
      <c r="H12" t="str">
        <f t="shared" si="0"/>
        <v>0,08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44"/>
      <c r="P12" s="238">
        <f t="shared" si="4"/>
        <v>0.04</v>
      </c>
      <c r="Q12" s="238">
        <f t="shared" si="5"/>
        <v>0.04</v>
      </c>
      <c r="R12" s="244"/>
      <c r="S12" s="238">
        <f t="shared" si="6"/>
        <v>1</v>
      </c>
      <c r="T12" s="244"/>
      <c r="U12" s="242" t="str">
        <f t="shared" si="7"/>
        <v>0,05</v>
      </c>
      <c r="V12" s="243"/>
    </row>
    <row r="13" spans="1:22" ht="18.399999999999999" customHeight="1" x14ac:dyDescent="0.25">
      <c r="A13" s="1" t="str">
        <f>Minták!W11</f>
        <v>7/IV-Rkohqy</v>
      </c>
      <c r="B13" s="229"/>
      <c r="C13" s="4">
        <f t="shared" si="3"/>
        <v>7.0000000000000007E-2</v>
      </c>
      <c r="D13" s="261">
        <f t="shared" si="1"/>
        <v>7.0000000000000007E-2</v>
      </c>
      <c r="E13" s="4">
        <v>1</v>
      </c>
      <c r="F13" s="269"/>
      <c r="G13" s="267">
        <f t="shared" si="2"/>
        <v>9.324700000000001E-2</v>
      </c>
      <c r="H13" t="str">
        <f t="shared" si="0"/>
        <v>0,09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44"/>
      <c r="P13" s="238">
        <f t="shared" si="4"/>
        <v>0.05</v>
      </c>
      <c r="Q13" s="238">
        <f t="shared" si="5"/>
        <v>0.05</v>
      </c>
      <c r="R13" s="244"/>
      <c r="S13" s="238">
        <f t="shared" si="6"/>
        <v>1</v>
      </c>
      <c r="T13" s="244"/>
      <c r="U13" s="242" t="str">
        <f t="shared" si="7"/>
        <v>0,07</v>
      </c>
      <c r="V13" s="243"/>
    </row>
    <row r="14" spans="1:22" ht="18.399999999999999" customHeight="1" x14ac:dyDescent="0.25">
      <c r="A14" s="1" t="str">
        <f>Minták!W12</f>
        <v>8/IV-Vxhhmc</v>
      </c>
      <c r="B14" s="229"/>
      <c r="C14" s="4">
        <f t="shared" si="3"/>
        <v>0.08</v>
      </c>
      <c r="D14" s="261">
        <f t="shared" si="1"/>
        <v>0.08</v>
      </c>
      <c r="E14" s="4">
        <v>1</v>
      </c>
      <c r="F14" s="269"/>
      <c r="G14" s="267">
        <f t="shared" si="2"/>
        <v>0.10656800000000001</v>
      </c>
      <c r="H14" t="str">
        <f t="shared" si="0"/>
        <v>0,11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44"/>
      <c r="P14" s="238">
        <f t="shared" si="4"/>
        <v>6.0000000000000005E-2</v>
      </c>
      <c r="Q14" s="238">
        <f t="shared" si="5"/>
        <v>6.0000000000000005E-2</v>
      </c>
      <c r="R14" s="244"/>
      <c r="S14" s="238">
        <f t="shared" si="6"/>
        <v>1</v>
      </c>
      <c r="T14" s="244"/>
      <c r="U14" s="242" t="str">
        <f t="shared" si="7"/>
        <v>0,08</v>
      </c>
      <c r="V14" s="243"/>
    </row>
    <row r="15" spans="1:22" ht="18.399999999999999" customHeight="1" x14ac:dyDescent="0.25">
      <c r="A15" s="1" t="str">
        <f>Minták!W13</f>
        <v>9/IV-Msdxtl</v>
      </c>
      <c r="B15" s="229"/>
      <c r="C15" s="4">
        <f t="shared" si="3"/>
        <v>0.09</v>
      </c>
      <c r="D15" s="261">
        <f t="shared" si="1"/>
        <v>0.09</v>
      </c>
      <c r="E15" s="4">
        <v>1</v>
      </c>
      <c r="F15" s="269"/>
      <c r="G15" s="267">
        <f t="shared" si="2"/>
        <v>0.119889</v>
      </c>
      <c r="H15" t="str">
        <f t="shared" si="0"/>
        <v>0,12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44"/>
      <c r="P15" s="238">
        <f t="shared" si="4"/>
        <v>7.0000000000000007E-2</v>
      </c>
      <c r="Q15" s="238">
        <f t="shared" si="5"/>
        <v>7.0000000000000007E-2</v>
      </c>
      <c r="R15" s="244"/>
      <c r="S15" s="238">
        <f t="shared" si="6"/>
        <v>1</v>
      </c>
      <c r="T15" s="244"/>
      <c r="U15" s="242" t="str">
        <f t="shared" si="7"/>
        <v>0,09</v>
      </c>
      <c r="V15" s="243"/>
    </row>
    <row r="16" spans="1:22" ht="18.399999999999999" customHeight="1" x14ac:dyDescent="0.25">
      <c r="A16" s="1" t="str">
        <f>Minták!W14</f>
        <v>10/IV-Qoldnt</v>
      </c>
      <c r="B16" s="229"/>
      <c r="C16" s="4">
        <f t="shared" si="3"/>
        <v>9.9999999999999992E-2</v>
      </c>
      <c r="D16" s="261">
        <f t="shared" si="1"/>
        <v>9.9999999999999992E-2</v>
      </c>
      <c r="E16" s="4">
        <v>1</v>
      </c>
      <c r="F16" s="269"/>
      <c r="G16" s="267">
        <f t="shared" si="2"/>
        <v>0.13321</v>
      </c>
      <c r="H16" t="str">
        <f t="shared" si="0"/>
        <v>0,13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44"/>
      <c r="P16" s="238">
        <f t="shared" si="4"/>
        <v>0.08</v>
      </c>
      <c r="Q16" s="238">
        <f t="shared" si="5"/>
        <v>0.08</v>
      </c>
      <c r="R16" s="244"/>
      <c r="S16" s="238">
        <f t="shared" si="6"/>
        <v>1</v>
      </c>
      <c r="T16" s="244"/>
      <c r="U16" s="242" t="str">
        <f t="shared" si="7"/>
        <v>0,11</v>
      </c>
      <c r="V16" s="270"/>
    </row>
    <row r="17" spans="1:22" ht="18.399999999999999" customHeight="1" x14ac:dyDescent="0.25">
      <c r="A17" s="1" t="str">
        <f>Minták!W15</f>
        <v>11/IV-Qnvptf</v>
      </c>
      <c r="B17" s="229"/>
      <c r="C17" s="4">
        <f t="shared" si="3"/>
        <v>0.10999999999999999</v>
      </c>
      <c r="D17" s="261">
        <f t="shared" si="1"/>
        <v>0.10999999999999999</v>
      </c>
      <c r="E17" s="4">
        <v>1</v>
      </c>
      <c r="F17" s="269"/>
      <c r="G17" s="267">
        <f t="shared" si="2"/>
        <v>0.14653099999999999</v>
      </c>
      <c r="H17" t="str">
        <f t="shared" si="0"/>
        <v>0,15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44"/>
      <c r="P17" s="238">
        <f t="shared" si="4"/>
        <v>0.09</v>
      </c>
      <c r="Q17" s="238">
        <f t="shared" si="5"/>
        <v>0.09</v>
      </c>
      <c r="R17" s="244"/>
      <c r="S17" s="238">
        <f t="shared" si="6"/>
        <v>1</v>
      </c>
      <c r="T17" s="244"/>
      <c r="U17" s="242" t="str">
        <f t="shared" si="7"/>
        <v>0,12</v>
      </c>
      <c r="V17" s="270"/>
    </row>
    <row r="18" spans="1:22" ht="18.399999999999999" customHeight="1" x14ac:dyDescent="0.25">
      <c r="A18" s="1" t="str">
        <f>Minták!W16</f>
        <v>12/IV-Lebdoq</v>
      </c>
      <c r="B18" s="229"/>
      <c r="C18" s="4">
        <f t="shared" si="3"/>
        <v>0.11999999999999998</v>
      </c>
      <c r="D18" s="261">
        <f t="shared" si="1"/>
        <v>0.11999999999999998</v>
      </c>
      <c r="E18" s="4">
        <v>1</v>
      </c>
      <c r="F18" s="269"/>
      <c r="G18" s="267">
        <f t="shared" si="2"/>
        <v>0.15985199999999999</v>
      </c>
      <c r="H18" t="str">
        <f t="shared" si="0"/>
        <v>0,16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44"/>
      <c r="P18" s="238">
        <f t="shared" si="4"/>
        <v>9.9999999999999992E-2</v>
      </c>
      <c r="Q18" s="238">
        <f t="shared" si="5"/>
        <v>9.9999999999999992E-2</v>
      </c>
      <c r="R18" s="244"/>
      <c r="S18" s="238">
        <f t="shared" si="6"/>
        <v>1</v>
      </c>
      <c r="T18" s="244"/>
      <c r="U18" s="242" t="str">
        <f t="shared" si="7"/>
        <v>0,13</v>
      </c>
      <c r="V18" s="243"/>
    </row>
    <row r="19" spans="1:22" ht="18.399999999999999" customHeight="1" x14ac:dyDescent="0.25">
      <c r="A19" s="1" t="str">
        <f>Minták!W17</f>
        <v>13/IV-Askfua</v>
      </c>
      <c r="B19" s="229"/>
      <c r="C19" s="4">
        <f t="shared" si="3"/>
        <v>0.12999999999999998</v>
      </c>
      <c r="D19" s="261">
        <f t="shared" si="1"/>
        <v>0.12999999999999998</v>
      </c>
      <c r="E19" s="4">
        <v>1</v>
      </c>
      <c r="F19" s="269"/>
      <c r="G19" s="267">
        <f t="shared" si="2"/>
        <v>0.17317299999999997</v>
      </c>
      <c r="H19" t="str">
        <f t="shared" si="0"/>
        <v>0,17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44"/>
      <c r="P19" s="238">
        <f t="shared" si="4"/>
        <v>0.10999999999999999</v>
      </c>
      <c r="Q19" s="238">
        <f t="shared" si="5"/>
        <v>0.10999999999999999</v>
      </c>
      <c r="R19" s="244"/>
      <c r="S19" s="238">
        <f t="shared" ref="S19:S26" si="8">IFERROR(IF($A17="-","",E17),"-")</f>
        <v>1</v>
      </c>
      <c r="T19" s="244"/>
      <c r="U19" s="242" t="str">
        <f t="shared" si="7"/>
        <v>0,15</v>
      </c>
      <c r="V19" s="243"/>
    </row>
    <row r="20" spans="1:22" ht="18.399999999999999" customHeight="1" x14ac:dyDescent="0.25">
      <c r="A20" s="1" t="str">
        <f>Minták!W18</f>
        <v>14/IV-Mcsjny</v>
      </c>
      <c r="B20" s="229"/>
      <c r="C20" s="4">
        <f t="shared" si="3"/>
        <v>0.13999999999999999</v>
      </c>
      <c r="D20" s="261">
        <f t="shared" si="1"/>
        <v>0.13999999999999999</v>
      </c>
      <c r="E20" s="4">
        <v>1</v>
      </c>
      <c r="F20" s="269"/>
      <c r="G20" s="267">
        <f t="shared" si="2"/>
        <v>0.18649399999999999</v>
      </c>
      <c r="H20" t="str">
        <f t="shared" si="0"/>
        <v>0,19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44"/>
      <c r="P20" s="238">
        <f t="shared" si="4"/>
        <v>0.11999999999999998</v>
      </c>
      <c r="Q20" s="238">
        <f t="shared" si="5"/>
        <v>0.11999999999999998</v>
      </c>
      <c r="R20" s="244"/>
      <c r="S20" s="238">
        <f t="shared" si="8"/>
        <v>1</v>
      </c>
      <c r="T20" s="244"/>
      <c r="U20" s="242" t="str">
        <f t="shared" si="7"/>
        <v>0,16</v>
      </c>
      <c r="V20" s="270"/>
    </row>
    <row r="21" spans="1:22" ht="18.399999999999999" customHeight="1" x14ac:dyDescent="0.25">
      <c r="A21" s="1" t="str">
        <f>Minták!W19</f>
        <v>15/IV-Rskdom</v>
      </c>
      <c r="B21" s="229"/>
      <c r="C21" s="4">
        <f t="shared" si="3"/>
        <v>0.15</v>
      </c>
      <c r="D21" s="261">
        <f t="shared" si="1"/>
        <v>0.15</v>
      </c>
      <c r="E21" s="4">
        <v>1</v>
      </c>
      <c r="F21" s="269"/>
      <c r="G21" s="267">
        <f t="shared" si="2"/>
        <v>0.19981499999999999</v>
      </c>
      <c r="H21" t="str">
        <f t="shared" si="0"/>
        <v>0,20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44"/>
      <c r="P21" s="238">
        <f t="shared" si="4"/>
        <v>0.12999999999999998</v>
      </c>
      <c r="Q21" s="238">
        <f t="shared" si="5"/>
        <v>0.12999999999999998</v>
      </c>
      <c r="R21" s="244"/>
      <c r="S21" s="238">
        <f t="shared" si="8"/>
        <v>1</v>
      </c>
      <c r="T21" s="244"/>
      <c r="U21" s="242" t="str">
        <f t="shared" si="7"/>
        <v>0,17</v>
      </c>
      <c r="V21" s="270"/>
    </row>
    <row r="22" spans="1:22" ht="18.399999999999999" customHeight="1" x14ac:dyDescent="0.25">
      <c r="A22" s="1" t="str">
        <f>Minták!W20</f>
        <v>16/IV-Jyhjzbmb</v>
      </c>
      <c r="B22" s="229"/>
      <c r="C22" s="4">
        <f t="shared" si="3"/>
        <v>0.16</v>
      </c>
      <c r="D22" s="261">
        <f t="shared" si="1"/>
        <v>0.16</v>
      </c>
      <c r="E22" s="4">
        <v>1</v>
      </c>
      <c r="F22" s="269"/>
      <c r="G22" s="267">
        <f t="shared" si="2"/>
        <v>0.21313600000000002</v>
      </c>
      <c r="H22" t="str">
        <f t="shared" si="0"/>
        <v>0,21</v>
      </c>
      <c r="L22" s="237" t="str">
        <f>IF(Minták!D18="","",Minták!D18)</f>
        <v>14/IV</v>
      </c>
      <c r="M22" s="244"/>
      <c r="N22" s="246" t="str">
        <f>IF(Minták!H18="","",Minták!H18)</f>
        <v>Mcsjny</v>
      </c>
      <c r="O22" s="244"/>
      <c r="P22" s="238">
        <f t="shared" si="4"/>
        <v>0.13999999999999999</v>
      </c>
      <c r="Q22" s="238">
        <f t="shared" si="5"/>
        <v>0.13999999999999999</v>
      </c>
      <c r="R22" s="244"/>
      <c r="S22" s="238">
        <f t="shared" si="8"/>
        <v>1</v>
      </c>
      <c r="T22" s="244"/>
      <c r="U22" s="242" t="str">
        <f t="shared" si="7"/>
        <v>0,19</v>
      </c>
      <c r="V22" s="243"/>
    </row>
    <row r="23" spans="1:22" ht="18.399999999999999" customHeight="1" x14ac:dyDescent="0.25">
      <c r="A23" s="18" t="s">
        <v>149</v>
      </c>
      <c r="B23" s="229"/>
      <c r="C23" s="23">
        <f t="shared" si="3"/>
        <v>0.17</v>
      </c>
      <c r="D23" s="261">
        <f t="shared" si="1"/>
        <v>0.17</v>
      </c>
      <c r="E23" s="4">
        <v>1</v>
      </c>
      <c r="F23" s="269"/>
      <c r="G23" s="267">
        <f t="shared" si="2"/>
        <v>0.22645700000000002</v>
      </c>
      <c r="H23" s="52">
        <f>ROUND(((G23*100)/VLOOKUP(A23,$D$30:$F$32,3,FALSE)),1)</f>
        <v>754.9</v>
      </c>
      <c r="I23" s="52"/>
      <c r="J23" s="52"/>
      <c r="K23" t="s">
        <v>15</v>
      </c>
      <c r="L23" s="237" t="str">
        <f>IF(Minták!D19="","",Minták!D19)</f>
        <v>15/IV</v>
      </c>
      <c r="M23" s="244"/>
      <c r="N23" s="246" t="str">
        <f>IF(Minták!H19="","",Minták!H19)</f>
        <v>Rskdom</v>
      </c>
      <c r="O23" s="244"/>
      <c r="P23" s="238">
        <f t="shared" si="4"/>
        <v>0.15</v>
      </c>
      <c r="Q23" s="238">
        <f t="shared" si="5"/>
        <v>0.15</v>
      </c>
      <c r="R23" s="244"/>
      <c r="S23" s="238">
        <f t="shared" si="8"/>
        <v>1</v>
      </c>
      <c r="T23" s="244"/>
      <c r="U23" s="242" t="str">
        <f t="shared" si="7"/>
        <v>0,20</v>
      </c>
      <c r="V23" s="243"/>
    </row>
    <row r="24" spans="1:22" ht="18.399999999999999" customHeight="1" x14ac:dyDescent="0.25">
      <c r="A24" s="18" t="s">
        <v>150</v>
      </c>
      <c r="B24" s="67"/>
      <c r="C24" s="4">
        <f t="shared" si="3"/>
        <v>0.18000000000000002</v>
      </c>
      <c r="D24" s="261">
        <f t="shared" si="1"/>
        <v>0.18000000000000002</v>
      </c>
      <c r="E24" s="4">
        <v>1</v>
      </c>
      <c r="F24" s="271"/>
      <c r="G24" s="267">
        <f t="shared" si="2"/>
        <v>0.23977800000000005</v>
      </c>
      <c r="H24" s="52">
        <f>ROUND(((G24*100)/VLOOKUP(A24,$D$30:$F$32,3,FALSE)),1)</f>
        <v>239.8</v>
      </c>
      <c r="I24" s="52"/>
      <c r="J24" s="52"/>
      <c r="K24" t="s">
        <v>15</v>
      </c>
      <c r="L24" s="237" t="str">
        <f>IF(Minták!D20="","",Minták!D20)</f>
        <v>16/IV</v>
      </c>
      <c r="M24" s="249"/>
      <c r="N24" s="250" t="str">
        <f>IF(Minták!H20="","",Minták!H20)</f>
        <v>Jyhjzbmb</v>
      </c>
      <c r="O24" s="249"/>
      <c r="P24" s="238">
        <f t="shared" si="4"/>
        <v>0.16</v>
      </c>
      <c r="Q24" s="238">
        <f t="shared" si="5"/>
        <v>0.16</v>
      </c>
      <c r="R24" s="249"/>
      <c r="S24" s="238">
        <f t="shared" si="8"/>
        <v>1</v>
      </c>
      <c r="T24" s="249"/>
      <c r="U24" s="242" t="str">
        <f t="shared" si="7"/>
        <v>0,21</v>
      </c>
      <c r="V24" s="272"/>
    </row>
    <row r="25" spans="1:22" ht="18.399999999999999" customHeight="1" x14ac:dyDescent="0.25">
      <c r="L25" s="253"/>
      <c r="M25" s="249"/>
      <c r="N25" s="273" t="str">
        <f>A23</f>
        <v>QC1 (0,03)</v>
      </c>
      <c r="O25" s="249"/>
      <c r="P25" s="238">
        <f t="shared" si="4"/>
        <v>0.17</v>
      </c>
      <c r="Q25" s="238">
        <f t="shared" si="5"/>
        <v>0.17</v>
      </c>
      <c r="R25" s="249"/>
      <c r="S25" s="238">
        <f t="shared" si="8"/>
        <v>1</v>
      </c>
      <c r="T25" s="249"/>
      <c r="U25" s="242">
        <f>IF($A23="-","",IFERROR(G23,"-"))</f>
        <v>0.22645700000000002</v>
      </c>
      <c r="V25" s="252" t="str">
        <f>CONCATENATE(ROUND(H23,1),"%")</f>
        <v>754,9%</v>
      </c>
    </row>
    <row r="26" spans="1:22" ht="18.399999999999999" customHeight="1" thickBot="1" x14ac:dyDescent="0.3">
      <c r="L26" s="254"/>
      <c r="M26" s="255"/>
      <c r="N26" s="274" t="str">
        <f>A24</f>
        <v>QC2 (0,1)</v>
      </c>
      <c r="O26" s="255"/>
      <c r="P26" s="258">
        <f t="shared" si="4"/>
        <v>0.18000000000000002</v>
      </c>
      <c r="Q26" s="258">
        <f t="shared" si="5"/>
        <v>0.18000000000000002</v>
      </c>
      <c r="R26" s="255"/>
      <c r="S26" s="258">
        <f t="shared" si="8"/>
        <v>1</v>
      </c>
      <c r="T26" s="255"/>
      <c r="U26" s="259">
        <f>IF($A24="-","",IFERROR(G24,"-"))</f>
        <v>0.23977800000000005</v>
      </c>
      <c r="V26" s="214" t="str">
        <f>CONCATENATE(ROUND(H24,1),"%")</f>
        <v>239,8%</v>
      </c>
    </row>
    <row r="29" spans="1:22" ht="18.399999999999999" customHeight="1" x14ac:dyDescent="0.25">
      <c r="A29" t="s">
        <v>24</v>
      </c>
      <c r="D29" t="s">
        <v>85</v>
      </c>
      <c r="F29" t="s">
        <v>87</v>
      </c>
      <c r="R29" s="15" t="s">
        <v>38</v>
      </c>
    </row>
    <row r="30" spans="1:22" ht="18.399999999999999" customHeight="1" x14ac:dyDescent="0.25">
      <c r="A30" s="9" t="s">
        <v>44</v>
      </c>
      <c r="D30" s="1" t="str">
        <f>Minták!DW8</f>
        <v>QC1 (0,03)</v>
      </c>
      <c r="F30" s="1">
        <f>Minták!DX8</f>
        <v>0.03</v>
      </c>
    </row>
    <row r="31" spans="1:22" ht="18.399999999999999" customHeight="1" x14ac:dyDescent="0.25">
      <c r="A31" t="s">
        <v>36</v>
      </c>
      <c r="D31" s="1" t="str">
        <f>Minták!DY8</f>
        <v>QC2 (0,1)</v>
      </c>
      <c r="F31" s="1">
        <f>Minták!DZ8</f>
        <v>0.1</v>
      </c>
    </row>
    <row r="32" spans="1:22" ht="18.399999999999999" customHeight="1" x14ac:dyDescent="0.25">
      <c r="A32" s="1">
        <f>Minták!DS8</f>
        <v>5</v>
      </c>
      <c r="B32" t="s">
        <v>37</v>
      </c>
      <c r="D32" s="1" t="str">
        <f>Minták!EA8</f>
        <v>QC3 (0,5)</v>
      </c>
      <c r="F32" s="1">
        <f>Minták!EB8</f>
        <v>0.5</v>
      </c>
    </row>
    <row r="33" spans="1:2" ht="18.399999999999999" customHeight="1" x14ac:dyDescent="0.25">
      <c r="A33" t="s">
        <v>54</v>
      </c>
      <c r="B33" s="260">
        <f>Minták!DU8</f>
        <v>0.03</v>
      </c>
    </row>
    <row r="34" spans="1:2" ht="18.399999999999999" customHeight="1" x14ac:dyDescent="0.25">
      <c r="A34" t="s">
        <v>55</v>
      </c>
      <c r="B34" s="1" t="str">
        <f>Minták!DV8</f>
        <v>képlet</v>
      </c>
    </row>
    <row r="35" spans="1:2" ht="18.399999999999999" customHeight="1" x14ac:dyDescent="0.25">
      <c r="A35" t="s">
        <v>135</v>
      </c>
      <c r="B35" s="1" t="str">
        <f>Minták!DT8</f>
        <v>-</v>
      </c>
    </row>
  </sheetData>
  <sheetProtection algorithmName="SHA-512" hashValue="rsGv+EgOiHLMO6e2KQRPuBoA4B4MYK+Ts5kb/g9ujRrX76oKxx1AQ9fHivGTpRHI31G+fdGsnVlpiBa166IcAQ==" saltValue="hMLpb0VyKurl7WN57DkTgA==" spinCount="100000" sheet="1" objects="1" scenarios="1"/>
  <mergeCells count="18">
    <mergeCell ref="A1:G2"/>
    <mergeCell ref="L1:M4"/>
    <mergeCell ref="N1:U4"/>
    <mergeCell ref="A3:A6"/>
    <mergeCell ref="B3:B6"/>
    <mergeCell ref="C3:C6"/>
    <mergeCell ref="D3:D6"/>
    <mergeCell ref="E3:E6"/>
    <mergeCell ref="F3:F6"/>
    <mergeCell ref="G3:G6"/>
    <mergeCell ref="U6:U8"/>
    <mergeCell ref="V6:V8"/>
    <mergeCell ref="L6:L8"/>
    <mergeCell ref="M6:M8"/>
    <mergeCell ref="N6:N8"/>
    <mergeCell ref="O6:Q7"/>
    <mergeCell ref="S6:S8"/>
    <mergeCell ref="T6:T8"/>
  </mergeCells>
  <pageMargins left="0.7" right="0.7" top="0.75" bottom="0.75" header="0.3" footer="0.3"/>
  <pageSetup paperSize="9" scale="90" fitToHeight="0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unka7"/>
  <dimension ref="A1:R82"/>
  <sheetViews>
    <sheetView topLeftCell="A30" zoomScaleNormal="100" workbookViewId="0">
      <selection activeCell="C39" sqref="C39:F52"/>
    </sheetView>
  </sheetViews>
  <sheetFormatPr defaultColWidth="9.140625" defaultRowHeight="16.5" customHeight="1" x14ac:dyDescent="0.25"/>
  <cols>
    <col min="1" max="1" width="33" customWidth="1"/>
    <col min="2" max="2" width="15.140625" bestFit="1" customWidth="1"/>
    <col min="4" max="4" width="11.140625" customWidth="1"/>
    <col min="5" max="5" width="12.42578125" bestFit="1" customWidth="1"/>
    <col min="6" max="6" width="14.7109375" customWidth="1"/>
    <col min="12" max="12" width="9.140625" style="82"/>
    <col min="13" max="13" width="13.85546875" style="82" customWidth="1"/>
    <col min="14" max="14" width="28.85546875" style="82" customWidth="1"/>
    <col min="15" max="17" width="19.28515625" style="82" customWidth="1"/>
    <col min="18" max="18" width="20.28515625" style="82" customWidth="1"/>
  </cols>
  <sheetData>
    <row r="1" spans="1:18" ht="18" customHeight="1" x14ac:dyDescent="0.25">
      <c r="A1" s="727" t="s">
        <v>108</v>
      </c>
      <c r="B1" s="529"/>
      <c r="C1" s="529"/>
      <c r="D1" s="529"/>
      <c r="E1" s="529"/>
      <c r="F1" s="529"/>
      <c r="L1" s="438" t="s">
        <v>319</v>
      </c>
      <c r="M1" s="690"/>
      <c r="N1" s="695" t="s">
        <v>351</v>
      </c>
      <c r="O1" s="696"/>
      <c r="P1" s="696"/>
      <c r="Q1" s="697"/>
      <c r="R1" s="219" t="s">
        <v>339</v>
      </c>
    </row>
    <row r="2" spans="1:18" ht="18" customHeight="1" thickBot="1" x14ac:dyDescent="0.3">
      <c r="A2" s="728"/>
      <c r="B2" s="729"/>
      <c r="C2" s="729"/>
      <c r="D2" s="729"/>
      <c r="E2" s="729"/>
      <c r="F2" s="729"/>
      <c r="L2" s="691"/>
      <c r="M2" s="692"/>
      <c r="N2" s="698"/>
      <c r="O2" s="699"/>
      <c r="P2" s="699"/>
      <c r="Q2" s="700"/>
      <c r="R2" s="220" t="s">
        <v>711</v>
      </c>
    </row>
    <row r="3" spans="1:18" ht="18" customHeight="1" x14ac:dyDescent="0.25">
      <c r="A3" s="723" t="s">
        <v>2</v>
      </c>
      <c r="B3" s="723" t="s">
        <v>107</v>
      </c>
      <c r="C3" s="507" t="s">
        <v>18</v>
      </c>
      <c r="D3" s="507" t="s">
        <v>39</v>
      </c>
      <c r="E3" s="725" t="s">
        <v>40</v>
      </c>
      <c r="F3" s="725" t="s">
        <v>152</v>
      </c>
      <c r="L3" s="691"/>
      <c r="M3" s="692"/>
      <c r="N3" s="698"/>
      <c r="O3" s="699"/>
      <c r="P3" s="699"/>
      <c r="Q3" s="700"/>
      <c r="R3" s="275">
        <v>45398</v>
      </c>
    </row>
    <row r="4" spans="1:18" ht="18" customHeight="1" x14ac:dyDescent="0.25">
      <c r="A4" s="724"/>
      <c r="B4" s="724"/>
      <c r="C4" s="508"/>
      <c r="D4" s="508"/>
      <c r="E4" s="726"/>
      <c r="F4" s="726"/>
      <c r="L4" s="693"/>
      <c r="M4" s="694"/>
      <c r="N4" s="701"/>
      <c r="O4" s="702"/>
      <c r="P4" s="702"/>
      <c r="Q4" s="703"/>
      <c r="R4" s="221" t="s">
        <v>324</v>
      </c>
    </row>
    <row r="5" spans="1:18" ht="16.350000000000001" customHeight="1" thickBot="1" x14ac:dyDescent="0.3">
      <c r="A5" s="724"/>
      <c r="B5" s="724"/>
      <c r="C5" s="508"/>
      <c r="D5" s="508"/>
      <c r="E5" s="726"/>
      <c r="F5" s="726"/>
    </row>
    <row r="6" spans="1:18" ht="16.350000000000001" customHeight="1" x14ac:dyDescent="0.25">
      <c r="A6" s="724"/>
      <c r="B6" s="724"/>
      <c r="C6" s="508"/>
      <c r="D6" s="508"/>
      <c r="E6" s="726"/>
      <c r="F6" s="726"/>
      <c r="L6" s="704" t="s">
        <v>25</v>
      </c>
      <c r="M6" s="704" t="s">
        <v>26</v>
      </c>
      <c r="N6" s="707" t="s">
        <v>27</v>
      </c>
      <c r="O6" s="730" t="s">
        <v>249</v>
      </c>
      <c r="P6" s="730" t="s">
        <v>250</v>
      </c>
      <c r="Q6" s="688" t="str">
        <f>IF(H10="x","hőmérséklet
helyszíni","hőmérséklet
pH")</f>
        <v>hőmérséklet
helyszíni</v>
      </c>
      <c r="R6" s="688" t="s">
        <v>151</v>
      </c>
    </row>
    <row r="7" spans="1:18" ht="16.350000000000001" customHeight="1" x14ac:dyDescent="0.25">
      <c r="A7" s="1" t="str">
        <f>Minták!W5</f>
        <v>1/IV-Nhhlz</v>
      </c>
      <c r="B7" s="69">
        <f>IF(Minták!E5="","-",Minták!E5)</f>
        <v>45292</v>
      </c>
      <c r="C7" s="186" t="str">
        <f>MV!R7</f>
        <v>-</v>
      </c>
      <c r="D7" s="186" t="str">
        <f>MV!S7</f>
        <v>-</v>
      </c>
      <c r="E7" s="186">
        <f>MV!Q7</f>
        <v>10</v>
      </c>
      <c r="F7" s="186" t="s">
        <v>44</v>
      </c>
      <c r="G7" t="str">
        <f t="shared" ref="G7:G10" si="0">IFERROR(IF(F7&lt;VALUE(E$70),CONCATENATE("&lt;",E$70),IF(F7&lt;10,FIXED(F7,2),IF(F7&lt;100,FIXED(F7,1),IF(F7&lt;1000,FIXED(F7,0),FIXED(F7,-1))))),"-")</f>
        <v>-</v>
      </c>
      <c r="H7" s="276" t="s">
        <v>707</v>
      </c>
      <c r="I7" s="276"/>
      <c r="L7" s="705"/>
      <c r="M7" s="705"/>
      <c r="N7" s="708"/>
      <c r="O7" s="731"/>
      <c r="P7" s="731"/>
      <c r="Q7" s="689"/>
      <c r="R7" s="689"/>
    </row>
    <row r="8" spans="1:18" ht="16.350000000000001" customHeight="1" thickBot="1" x14ac:dyDescent="0.3">
      <c r="A8" s="1" t="str">
        <f>Minták!W6</f>
        <v>2/IV-ADATOT BEÍRNI</v>
      </c>
      <c r="B8" s="69">
        <f>IF(Minták!E6="","-",Minták!E6)</f>
        <v>45293</v>
      </c>
      <c r="C8" s="186" t="str">
        <f>MV!R8</f>
        <v>-</v>
      </c>
      <c r="D8" s="186" t="str">
        <f>MV!S8</f>
        <v>-</v>
      </c>
      <c r="E8" s="186">
        <f>MV!Q8</f>
        <v>10.1</v>
      </c>
      <c r="F8" s="186" t="s">
        <v>44</v>
      </c>
      <c r="G8" t="str">
        <f t="shared" si="0"/>
        <v>-</v>
      </c>
      <c r="H8" s="340" t="s">
        <v>44</v>
      </c>
      <c r="I8" s="276"/>
      <c r="L8" s="706"/>
      <c r="M8" s="706"/>
      <c r="N8" s="709"/>
      <c r="O8" s="731"/>
      <c r="P8" s="731"/>
      <c r="Q8" s="225" t="s">
        <v>713</v>
      </c>
      <c r="R8" s="689"/>
    </row>
    <row r="9" spans="1:18" ht="16.350000000000001" customHeight="1" x14ac:dyDescent="0.25">
      <c r="A9" s="1" t="str">
        <f>Minták!W7</f>
        <v>3/KIV-ADATOT BEÍRNI</v>
      </c>
      <c r="B9" s="69">
        <f>IF(Minták!E7="","-",Minták!E7)</f>
        <v>45294</v>
      </c>
      <c r="C9" s="186" t="str">
        <f>MV!R9</f>
        <v>-</v>
      </c>
      <c r="D9" s="186" t="str">
        <f>MV!S9</f>
        <v>-</v>
      </c>
      <c r="E9" s="186">
        <f>MV!Q9</f>
        <v>10.199999999999999</v>
      </c>
      <c r="F9" s="186" t="s">
        <v>44</v>
      </c>
      <c r="G9" t="str">
        <f t="shared" si="0"/>
        <v>-</v>
      </c>
      <c r="H9" s="276" t="s">
        <v>708</v>
      </c>
      <c r="I9" s="276"/>
      <c r="L9" s="230" t="str">
        <f>IF(Minták!D5="","",Minták!D5)</f>
        <v>1/IV</v>
      </c>
      <c r="M9" s="277" t="str">
        <f>B26</f>
        <v>-</v>
      </c>
      <c r="N9" s="278" t="str">
        <f>IF(Minták!H5="","",Minták!H5)</f>
        <v>Nhhlz</v>
      </c>
      <c r="O9" s="264" t="str">
        <f t="shared" ref="O9:O24" si="1">IFERROR(IF($A7="-","-",FIXED(C7,B$71)),"-")</f>
        <v>-</v>
      </c>
      <c r="P9" s="264" t="str">
        <f t="shared" ref="P9:P24" si="2">IFERROR(IF($A7="-","-",FIXED(D7,C$71)),"-")</f>
        <v>-</v>
      </c>
      <c r="Q9" s="264" t="str">
        <f>IFERROR(IF($A7="-","-",FIXED(E7,D$71)),"-")</f>
        <v>10,0</v>
      </c>
      <c r="R9" s="279" t="str">
        <f t="shared" ref="R9:R24" si="3">IFERROR(IF($A7="-","-",G7),"-")</f>
        <v>-</v>
      </c>
    </row>
    <row r="10" spans="1:18" ht="16.350000000000001" customHeight="1" x14ac:dyDescent="0.25">
      <c r="A10" s="1" t="str">
        <f>Minták!W8</f>
        <v>4/IV-Ebnxscqc</v>
      </c>
      <c r="B10" s="69">
        <f>IF(Minták!E8="","-",Minták!E8)</f>
        <v>45295</v>
      </c>
      <c r="C10" s="186" t="str">
        <f>MV!R10</f>
        <v>-</v>
      </c>
      <c r="D10" s="186" t="str">
        <f>MV!S10</f>
        <v>-</v>
      </c>
      <c r="E10" s="186">
        <f>MV!Q10</f>
        <v>10.299999999999999</v>
      </c>
      <c r="F10" s="186" t="s">
        <v>44</v>
      </c>
      <c r="G10" t="str">
        <f t="shared" si="0"/>
        <v>-</v>
      </c>
      <c r="H10" s="332" t="s">
        <v>723</v>
      </c>
      <c r="I10" s="276"/>
      <c r="L10" s="237" t="str">
        <f>IF(Minták!D6="","",Minták!D6)</f>
        <v>2/IV</v>
      </c>
      <c r="M10" s="280"/>
      <c r="N10" s="273" t="str">
        <f>IF(Minták!H6="","",Minták!H6)</f>
        <v>ADATOT BEÍRNI</v>
      </c>
      <c r="O10" s="265" t="str">
        <f t="shared" si="1"/>
        <v>-</v>
      </c>
      <c r="P10" s="265" t="str">
        <f t="shared" si="2"/>
        <v>-</v>
      </c>
      <c r="Q10" s="265" t="str">
        <f>IFERROR(IF($A8="-","-",FIXED(E8,D$71)),"-")</f>
        <v>10,1</v>
      </c>
      <c r="R10" s="270" t="str">
        <f t="shared" si="3"/>
        <v>-</v>
      </c>
    </row>
    <row r="11" spans="1:18" ht="16.350000000000001" customHeight="1" x14ac:dyDescent="0.25">
      <c r="A11" s="1" t="str">
        <f>Minták!W9</f>
        <v>5/IV-Ubqpva</v>
      </c>
      <c r="B11" s="69">
        <f>IF(Minták!E9="","-",Minták!E9)</f>
        <v>45296</v>
      </c>
      <c r="C11" s="186" t="str">
        <f>MV!R11</f>
        <v>-</v>
      </c>
      <c r="D11" s="186" t="str">
        <f>MV!S11</f>
        <v>-</v>
      </c>
      <c r="E11" s="186">
        <f>MV!Q11</f>
        <v>10.399999999999999</v>
      </c>
      <c r="F11" s="186" t="s">
        <v>44</v>
      </c>
      <c r="G11" t="str">
        <f t="shared" ref="G11:G22" si="4">IFERROR(IF(F11&lt;VALUE(E$70),CONCATENATE("&lt;",E$70),IF(F11&lt;10,FIXED(F11,2),IF(F11&lt;100,FIXED(F11,1),IF(F11&lt;1000,FIXED(F11,0),FIXED(F11,-1))))),"-")</f>
        <v>-</v>
      </c>
      <c r="L11" s="237" t="str">
        <f>IF(Minták!D7="","",Minták!D7)</f>
        <v>3/KIV</v>
      </c>
      <c r="M11" s="280"/>
      <c r="N11" s="273" t="str">
        <f>IF(Minták!H7="","",Minták!H7)</f>
        <v>ADATOT BEÍRNI</v>
      </c>
      <c r="O11" s="265" t="str">
        <f t="shared" si="1"/>
        <v>-</v>
      </c>
      <c r="P11" s="265" t="str">
        <f t="shared" si="2"/>
        <v>-</v>
      </c>
      <c r="Q11" s="265" t="str">
        <f t="shared" ref="Q11:Q24" si="5">IFERROR(IF($A9="-","-",FIXED(E9,D$71)),"-")</f>
        <v>10,2</v>
      </c>
      <c r="R11" s="270" t="str">
        <f t="shared" si="3"/>
        <v>-</v>
      </c>
    </row>
    <row r="12" spans="1:18" ht="16.350000000000001" customHeight="1" x14ac:dyDescent="0.25">
      <c r="A12" s="1" t="str">
        <f>Minták!W10</f>
        <v>6/IV-Eouypz</v>
      </c>
      <c r="B12" s="69">
        <f>IF(Minták!E10="","-",Minták!E10)</f>
        <v>45297</v>
      </c>
      <c r="C12" s="186" t="str">
        <f>MV!R12</f>
        <v>-</v>
      </c>
      <c r="D12" s="186" t="str">
        <f>MV!S12</f>
        <v>-</v>
      </c>
      <c r="E12" s="186">
        <f>MV!Q12</f>
        <v>10.499999999999998</v>
      </c>
      <c r="F12" s="186" t="s">
        <v>44</v>
      </c>
      <c r="G12" t="str">
        <f t="shared" si="4"/>
        <v>-</v>
      </c>
      <c r="L12" s="237" t="str">
        <f>IF(Minták!D8="","",Minták!D8)</f>
        <v>4/IV</v>
      </c>
      <c r="M12" s="280"/>
      <c r="N12" s="273" t="str">
        <f>IF(Minták!H8="","",Minták!H8)</f>
        <v>Ebnxscqc</v>
      </c>
      <c r="O12" s="265" t="str">
        <f t="shared" si="1"/>
        <v>-</v>
      </c>
      <c r="P12" s="265" t="str">
        <f t="shared" si="2"/>
        <v>-</v>
      </c>
      <c r="Q12" s="265" t="str">
        <f t="shared" si="5"/>
        <v>10,3</v>
      </c>
      <c r="R12" s="270" t="str">
        <f t="shared" si="3"/>
        <v>-</v>
      </c>
    </row>
    <row r="13" spans="1:18" ht="16.350000000000001" customHeight="1" x14ac:dyDescent="0.25">
      <c r="A13" s="1" t="str">
        <f>Minták!W11</f>
        <v>7/IV-Rkohqy</v>
      </c>
      <c r="B13" s="69">
        <f>IF(Minták!E11="","-",Minták!E11)</f>
        <v>45298</v>
      </c>
      <c r="C13" s="186" t="str">
        <f>MV!R13</f>
        <v>-</v>
      </c>
      <c r="D13" s="186" t="str">
        <f>MV!S13</f>
        <v>-</v>
      </c>
      <c r="E13" s="186">
        <f>MV!Q13</f>
        <v>10.599999999999998</v>
      </c>
      <c r="F13" s="186" t="s">
        <v>44</v>
      </c>
      <c r="G13" t="str">
        <f t="shared" si="4"/>
        <v>-</v>
      </c>
      <c r="L13" s="237" t="str">
        <f>IF(Minták!D9="","",Minták!D9)</f>
        <v>5/IV</v>
      </c>
      <c r="M13" s="280"/>
      <c r="N13" s="273" t="str">
        <f>IF(Minták!H9="","",Minták!H9)</f>
        <v>Ubqpva</v>
      </c>
      <c r="O13" s="265" t="str">
        <f t="shared" si="1"/>
        <v>-</v>
      </c>
      <c r="P13" s="265" t="str">
        <f t="shared" si="2"/>
        <v>-</v>
      </c>
      <c r="Q13" s="265" t="str">
        <f t="shared" si="5"/>
        <v>10,4</v>
      </c>
      <c r="R13" s="270" t="str">
        <f t="shared" si="3"/>
        <v>-</v>
      </c>
    </row>
    <row r="14" spans="1:18" ht="16.350000000000001" customHeight="1" x14ac:dyDescent="0.25">
      <c r="A14" s="1" t="str">
        <f>Minták!W12</f>
        <v>8/IV-Vxhhmc</v>
      </c>
      <c r="B14" s="69">
        <f>IF(Minták!E12="","-",Minták!E12)</f>
        <v>45299</v>
      </c>
      <c r="C14" s="186" t="str">
        <f>MV!R14</f>
        <v>-</v>
      </c>
      <c r="D14" s="186" t="str">
        <f>MV!S14</f>
        <v>-</v>
      </c>
      <c r="E14" s="186">
        <f>MV!Q14</f>
        <v>10.699999999999998</v>
      </c>
      <c r="F14" s="186" t="s">
        <v>44</v>
      </c>
      <c r="G14" t="str">
        <f t="shared" si="4"/>
        <v>-</v>
      </c>
      <c r="L14" s="237" t="str">
        <f>IF(Minták!D10="","",Minták!D10)</f>
        <v>6/IV</v>
      </c>
      <c r="M14" s="280"/>
      <c r="N14" s="273" t="str">
        <f>IF(Minták!H10="","",Minták!H10)</f>
        <v>Eouypz</v>
      </c>
      <c r="O14" s="265" t="str">
        <f t="shared" si="1"/>
        <v>-</v>
      </c>
      <c r="P14" s="265" t="str">
        <f t="shared" si="2"/>
        <v>-</v>
      </c>
      <c r="Q14" s="265" t="str">
        <f t="shared" si="5"/>
        <v>10,5</v>
      </c>
      <c r="R14" s="270" t="str">
        <f t="shared" si="3"/>
        <v>-</v>
      </c>
    </row>
    <row r="15" spans="1:18" ht="16.350000000000001" customHeight="1" x14ac:dyDescent="0.25">
      <c r="A15" s="1" t="str">
        <f>Minták!W13</f>
        <v>9/IV-Msdxtl</v>
      </c>
      <c r="B15" s="69">
        <f>IF(Minták!E13="","-",Minták!E13)</f>
        <v>45300</v>
      </c>
      <c r="C15" s="186" t="str">
        <f>MV!R15</f>
        <v>-</v>
      </c>
      <c r="D15" s="186" t="str">
        <f>MV!S15</f>
        <v>-</v>
      </c>
      <c r="E15" s="186">
        <f>MV!Q15</f>
        <v>10.799999999999997</v>
      </c>
      <c r="F15" s="186" t="s">
        <v>44</v>
      </c>
      <c r="G15" t="str">
        <f t="shared" si="4"/>
        <v>-</v>
      </c>
      <c r="L15" s="237" t="str">
        <f>IF(Minták!D11="","",Minták!D11)</f>
        <v>7/IV</v>
      </c>
      <c r="M15" s="280"/>
      <c r="N15" s="273" t="str">
        <f>IF(Minták!H11="","",Minták!H11)</f>
        <v>Rkohqy</v>
      </c>
      <c r="O15" s="265" t="str">
        <f t="shared" si="1"/>
        <v>-</v>
      </c>
      <c r="P15" s="265" t="str">
        <f t="shared" si="2"/>
        <v>-</v>
      </c>
      <c r="Q15" s="265" t="str">
        <f t="shared" si="5"/>
        <v>10,6</v>
      </c>
      <c r="R15" s="270" t="str">
        <f t="shared" si="3"/>
        <v>-</v>
      </c>
    </row>
    <row r="16" spans="1:18" ht="16.350000000000001" customHeight="1" x14ac:dyDescent="0.25">
      <c r="A16" s="1" t="str">
        <f>Minták!W14</f>
        <v>10/IV-Qoldnt</v>
      </c>
      <c r="B16" s="69">
        <f>IF(Minták!E14="","-",Minták!E14)</f>
        <v>45301</v>
      </c>
      <c r="C16" s="186" t="str">
        <f>MV!R16</f>
        <v>-</v>
      </c>
      <c r="D16" s="186" t="str">
        <f>MV!S16</f>
        <v>-</v>
      </c>
      <c r="E16" s="186">
        <f>MV!Q16</f>
        <v>10.899999999999997</v>
      </c>
      <c r="F16" s="186" t="s">
        <v>44</v>
      </c>
      <c r="G16" t="str">
        <f t="shared" si="4"/>
        <v>-</v>
      </c>
      <c r="L16" s="237" t="str">
        <f>IF(Minták!D12="","",Minták!D12)</f>
        <v>8/IV</v>
      </c>
      <c r="M16" s="280"/>
      <c r="N16" s="273" t="str">
        <f>IF(Minták!H12="","",Minták!H12)</f>
        <v>Vxhhmc</v>
      </c>
      <c r="O16" s="265" t="str">
        <f t="shared" si="1"/>
        <v>-</v>
      </c>
      <c r="P16" s="265" t="str">
        <f t="shared" si="2"/>
        <v>-</v>
      </c>
      <c r="Q16" s="265" t="str">
        <f t="shared" si="5"/>
        <v>10,7</v>
      </c>
      <c r="R16" s="270" t="str">
        <f t="shared" si="3"/>
        <v>-</v>
      </c>
    </row>
    <row r="17" spans="1:18" ht="16.350000000000001" customHeight="1" x14ac:dyDescent="0.25">
      <c r="A17" s="1" t="str">
        <f>Minták!W15</f>
        <v>11/IV-Qnvptf</v>
      </c>
      <c r="B17" s="69">
        <f>IF(Minták!E15="","-",Minták!E15)</f>
        <v>45302</v>
      </c>
      <c r="C17" s="186" t="str">
        <f>MV!R17</f>
        <v>-</v>
      </c>
      <c r="D17" s="186" t="str">
        <f>MV!S17</f>
        <v>-</v>
      </c>
      <c r="E17" s="186">
        <f>MV!Q17</f>
        <v>10.999999999999996</v>
      </c>
      <c r="F17" s="186" t="s">
        <v>44</v>
      </c>
      <c r="G17" t="str">
        <f t="shared" si="4"/>
        <v>-</v>
      </c>
      <c r="L17" s="237" t="str">
        <f>IF(Minták!D13="","",Minták!D13)</f>
        <v>9/IV</v>
      </c>
      <c r="M17" s="280"/>
      <c r="N17" s="273" t="str">
        <f>IF(Minták!H13="","",Minták!H13)</f>
        <v>Msdxtl</v>
      </c>
      <c r="O17" s="265" t="str">
        <f t="shared" si="1"/>
        <v>-</v>
      </c>
      <c r="P17" s="265" t="str">
        <f t="shared" si="2"/>
        <v>-</v>
      </c>
      <c r="Q17" s="265" t="str">
        <f t="shared" si="5"/>
        <v>10,8</v>
      </c>
      <c r="R17" s="270" t="str">
        <f t="shared" si="3"/>
        <v>-</v>
      </c>
    </row>
    <row r="18" spans="1:18" ht="16.350000000000001" customHeight="1" x14ac:dyDescent="0.25">
      <c r="A18" s="1" t="str">
        <f>Minták!W16</f>
        <v>12/IV-Lebdoq</v>
      </c>
      <c r="B18" s="69">
        <f>IF(Minták!E16="","-",Minták!E16)</f>
        <v>45303</v>
      </c>
      <c r="C18" s="186" t="str">
        <f>MV!R18</f>
        <v>-</v>
      </c>
      <c r="D18" s="186" t="str">
        <f>MV!S18</f>
        <v>-</v>
      </c>
      <c r="E18" s="186">
        <f>MV!Q18</f>
        <v>11.099999999999996</v>
      </c>
      <c r="F18" s="186" t="s">
        <v>44</v>
      </c>
      <c r="G18" t="str">
        <f t="shared" si="4"/>
        <v>-</v>
      </c>
      <c r="L18" s="237" t="str">
        <f>IF(Minták!D14="","",Minták!D14)</f>
        <v>10/IV</v>
      </c>
      <c r="M18" s="280"/>
      <c r="N18" s="273" t="str">
        <f>IF(Minták!H14="","",Minták!H14)</f>
        <v>Qoldnt</v>
      </c>
      <c r="O18" s="265" t="str">
        <f t="shared" si="1"/>
        <v>-</v>
      </c>
      <c r="P18" s="265" t="str">
        <f t="shared" si="2"/>
        <v>-</v>
      </c>
      <c r="Q18" s="265" t="str">
        <f t="shared" si="5"/>
        <v>10,9</v>
      </c>
      <c r="R18" s="270" t="str">
        <f t="shared" si="3"/>
        <v>-</v>
      </c>
    </row>
    <row r="19" spans="1:18" ht="16.350000000000001" customHeight="1" x14ac:dyDescent="0.25">
      <c r="A19" s="1" t="str">
        <f>Minták!W17</f>
        <v>13/IV-Askfua</v>
      </c>
      <c r="B19" s="69">
        <f>IF(Minták!E17="","-",Minták!E17)</f>
        <v>45304</v>
      </c>
      <c r="C19" s="186" t="str">
        <f>MV!R19</f>
        <v>-</v>
      </c>
      <c r="D19" s="186" t="str">
        <f>MV!S19</f>
        <v>-</v>
      </c>
      <c r="E19" s="186">
        <f>MV!Q19</f>
        <v>11.199999999999996</v>
      </c>
      <c r="F19" s="186" t="s">
        <v>44</v>
      </c>
      <c r="G19" t="str">
        <f t="shared" si="4"/>
        <v>-</v>
      </c>
      <c r="L19" s="237" t="str">
        <f>IF(Minták!D15="","",Minták!D15)</f>
        <v>11/IV</v>
      </c>
      <c r="M19" s="280"/>
      <c r="N19" s="273" t="str">
        <f>IF(Minták!H15="","",Minták!H15)</f>
        <v>Qnvptf</v>
      </c>
      <c r="O19" s="265" t="str">
        <f t="shared" si="1"/>
        <v>-</v>
      </c>
      <c r="P19" s="265" t="str">
        <f t="shared" si="2"/>
        <v>-</v>
      </c>
      <c r="Q19" s="265" t="str">
        <f t="shared" si="5"/>
        <v>11,0</v>
      </c>
      <c r="R19" s="270" t="str">
        <f t="shared" si="3"/>
        <v>-</v>
      </c>
    </row>
    <row r="20" spans="1:18" ht="16.350000000000001" customHeight="1" x14ac:dyDescent="0.25">
      <c r="A20" s="1" t="str">
        <f>Minták!W18</f>
        <v>14/IV-Mcsjny</v>
      </c>
      <c r="B20" s="69">
        <f>IF(Minták!E18="","-",Minták!E18)</f>
        <v>45305</v>
      </c>
      <c r="C20" s="186" t="str">
        <f>MV!R20</f>
        <v>-</v>
      </c>
      <c r="D20" s="186" t="str">
        <f>MV!S20</f>
        <v>-</v>
      </c>
      <c r="E20" s="186">
        <f>MV!Q20</f>
        <v>11.299999999999995</v>
      </c>
      <c r="F20" s="186" t="s">
        <v>44</v>
      </c>
      <c r="G20" t="str">
        <f t="shared" si="4"/>
        <v>-</v>
      </c>
      <c r="L20" s="237" t="str">
        <f>IF(Minták!D16="","",Minták!D16)</f>
        <v>12/IV</v>
      </c>
      <c r="M20" s="280"/>
      <c r="N20" s="273" t="str">
        <f>IF(Minták!H16="","",Minták!H16)</f>
        <v>Lebdoq</v>
      </c>
      <c r="O20" s="265" t="str">
        <f t="shared" si="1"/>
        <v>-</v>
      </c>
      <c r="P20" s="265" t="str">
        <f t="shared" si="2"/>
        <v>-</v>
      </c>
      <c r="Q20" s="265" t="str">
        <f t="shared" si="5"/>
        <v>11,1</v>
      </c>
      <c r="R20" s="270" t="str">
        <f t="shared" si="3"/>
        <v>-</v>
      </c>
    </row>
    <row r="21" spans="1:18" ht="16.350000000000001" customHeight="1" x14ac:dyDescent="0.25">
      <c r="A21" s="1" t="str">
        <f>Minták!W19</f>
        <v>15/IV-Rskdom</v>
      </c>
      <c r="B21" s="69">
        <f>IF(Minták!E19="","-",Minták!E19)</f>
        <v>45306</v>
      </c>
      <c r="C21" s="186" t="str">
        <f>MV!R21</f>
        <v>-</v>
      </c>
      <c r="D21" s="186" t="str">
        <f>MV!S21</f>
        <v>-</v>
      </c>
      <c r="E21" s="186">
        <f>MV!Q21</f>
        <v>11.399999999999995</v>
      </c>
      <c r="F21" s="186" t="s">
        <v>44</v>
      </c>
      <c r="G21" t="str">
        <f t="shared" si="4"/>
        <v>-</v>
      </c>
      <c r="L21" s="237" t="str">
        <f>IF(Minták!D17="","",Minták!D17)</f>
        <v>13/IV</v>
      </c>
      <c r="M21" s="280"/>
      <c r="N21" s="273" t="str">
        <f>IF(Minták!H17="","",Minták!H17)</f>
        <v>Askfua</v>
      </c>
      <c r="O21" s="265" t="str">
        <f t="shared" si="1"/>
        <v>-</v>
      </c>
      <c r="P21" s="265" t="str">
        <f t="shared" si="2"/>
        <v>-</v>
      </c>
      <c r="Q21" s="265" t="str">
        <f t="shared" si="5"/>
        <v>11,2</v>
      </c>
      <c r="R21" s="270" t="str">
        <f t="shared" si="3"/>
        <v>-</v>
      </c>
    </row>
    <row r="22" spans="1:18" ht="16.350000000000001" customHeight="1" x14ac:dyDescent="0.25">
      <c r="A22" s="1" t="str">
        <f>Minták!W20</f>
        <v>16/IV-Jyhjzbmb</v>
      </c>
      <c r="B22" s="69">
        <f>IF(Minták!E20="","-",Minták!E20)</f>
        <v>45307</v>
      </c>
      <c r="C22" s="186" t="str">
        <f>MV!R22</f>
        <v>-</v>
      </c>
      <c r="D22" s="186" t="str">
        <f>MV!S22</f>
        <v>-</v>
      </c>
      <c r="E22" s="186">
        <f>MV!Q22</f>
        <v>11.499999999999995</v>
      </c>
      <c r="F22" s="186" t="s">
        <v>44</v>
      </c>
      <c r="G22" t="str">
        <f t="shared" si="4"/>
        <v>-</v>
      </c>
      <c r="L22" s="237" t="str">
        <f>IF(Minták!D18="","",Minták!D18)</f>
        <v>14/IV</v>
      </c>
      <c r="M22" s="280"/>
      <c r="N22" s="273" t="str">
        <f>IF(Minták!H18="","",Minták!H18)</f>
        <v>Mcsjny</v>
      </c>
      <c r="O22" s="265" t="str">
        <f t="shared" si="1"/>
        <v>-</v>
      </c>
      <c r="P22" s="265" t="str">
        <f t="shared" si="2"/>
        <v>-</v>
      </c>
      <c r="Q22" s="265" t="str">
        <f t="shared" si="5"/>
        <v>11,3</v>
      </c>
      <c r="R22" s="270" t="str">
        <f t="shared" si="3"/>
        <v>-</v>
      </c>
    </row>
    <row r="23" spans="1:18" ht="16.350000000000001" customHeight="1" x14ac:dyDescent="0.25">
      <c r="A23" s="18" t="s">
        <v>90</v>
      </c>
      <c r="B23" s="69" t="s">
        <v>44</v>
      </c>
      <c r="C23" s="4" t="s">
        <v>44</v>
      </c>
      <c r="D23" s="186" t="s">
        <v>44</v>
      </c>
      <c r="E23" s="186" t="s">
        <v>44</v>
      </c>
      <c r="F23" s="52" t="s">
        <v>100</v>
      </c>
      <c r="G23" s="52" t="e">
        <f>C23-VLOOKUP(A23,$A$63:$B$65,2,FALSE)</f>
        <v>#VALUE!</v>
      </c>
      <c r="L23" s="237" t="str">
        <f>IF(Minták!D19="","",Minták!D19)</f>
        <v>15/IV</v>
      </c>
      <c r="M23" s="280"/>
      <c r="N23" s="273" t="str">
        <f>IF(Minták!H19="","",Minták!H19)</f>
        <v>Rskdom</v>
      </c>
      <c r="O23" s="265" t="str">
        <f t="shared" si="1"/>
        <v>-</v>
      </c>
      <c r="P23" s="265" t="str">
        <f t="shared" si="2"/>
        <v>-</v>
      </c>
      <c r="Q23" s="265" t="str">
        <f t="shared" si="5"/>
        <v>11,4</v>
      </c>
      <c r="R23" s="270" t="str">
        <f t="shared" si="3"/>
        <v>-</v>
      </c>
    </row>
    <row r="24" spans="1:18" ht="16.350000000000001" customHeight="1" x14ac:dyDescent="0.25">
      <c r="A24" s="18" t="s">
        <v>106</v>
      </c>
      <c r="B24" s="69" t="s">
        <v>44</v>
      </c>
      <c r="C24" s="186" t="s">
        <v>44</v>
      </c>
      <c r="D24" s="6" t="s">
        <v>44</v>
      </c>
      <c r="E24" s="186" t="s">
        <v>44</v>
      </c>
      <c r="F24" s="52" t="s">
        <v>100</v>
      </c>
      <c r="G24" s="52" t="e">
        <f>D24-VLOOKUP(A24,$D$63:$E$65,2,FALSE)</f>
        <v>#VALUE!</v>
      </c>
      <c r="L24" s="237" t="str">
        <f>IF(Minták!D20="","",Minták!D20)</f>
        <v>16/IV</v>
      </c>
      <c r="M24" s="280"/>
      <c r="N24" s="273" t="str">
        <f>IF(Minták!H20="","",Minták!H20)</f>
        <v>Jyhjzbmb</v>
      </c>
      <c r="O24" s="265" t="str">
        <f t="shared" si="1"/>
        <v>-</v>
      </c>
      <c r="P24" s="265" t="str">
        <f t="shared" si="2"/>
        <v>-</v>
      </c>
      <c r="Q24" s="265" t="str">
        <f t="shared" si="5"/>
        <v>11,5</v>
      </c>
      <c r="R24" s="281" t="str">
        <f t="shared" si="3"/>
        <v>-</v>
      </c>
    </row>
    <row r="25" spans="1:18" ht="16.350000000000001" customHeight="1" thickBot="1" x14ac:dyDescent="0.3">
      <c r="L25" s="282"/>
      <c r="M25" s="283"/>
      <c r="N25" s="283"/>
      <c r="O25" s="265" t="str">
        <f>CONCATENATE(A28," ",B28)</f>
        <v>Slp: -</v>
      </c>
      <c r="P25" s="265" t="str">
        <f>CONCATENATE(C28," ",D28)</f>
        <v>Cellaállandó: -</v>
      </c>
      <c r="Q25" s="284"/>
      <c r="R25" s="272"/>
    </row>
    <row r="26" spans="1:18" ht="16.350000000000001" customHeight="1" x14ac:dyDescent="0.25">
      <c r="A26" t="s">
        <v>110</v>
      </c>
      <c r="B26" s="9" t="s">
        <v>44</v>
      </c>
      <c r="L26" s="285" t="str">
        <f>H8</f>
        <v>-</v>
      </c>
      <c r="M26" s="719" t="s">
        <v>709</v>
      </c>
      <c r="N26" s="720"/>
      <c r="O26" s="265" t="str">
        <f>CONCATENATE(A29," ",B29)</f>
        <v>Asy: -</v>
      </c>
      <c r="P26" s="238" t="str">
        <f>CONCATENATE(A24,": ",D24)</f>
        <v>QC1 (1276): -</v>
      </c>
      <c r="Q26" s="16" t="str">
        <f>IFERROR(CONCATENATE("-&gt; eltérés: ",ROUND(G24,0)),"-")</f>
        <v>-</v>
      </c>
      <c r="R26" s="286" t="str">
        <f>IFERROR(CONCATENATE("(",ROUND(G24/(D24-G24)*100,1),"%)"),"-")</f>
        <v>-</v>
      </c>
    </row>
    <row r="27" spans="1:18" ht="16.350000000000001" customHeight="1" thickBot="1" x14ac:dyDescent="0.3">
      <c r="A27" t="s">
        <v>41</v>
      </c>
      <c r="L27" s="254" t="str">
        <f>H10</f>
        <v>x</v>
      </c>
      <c r="M27" s="721" t="s">
        <v>710</v>
      </c>
      <c r="N27" s="722"/>
      <c r="O27" s="287" t="str">
        <f>CONCATENATE(A23,": ",C23)</f>
        <v>QC2 (7,00): -</v>
      </c>
      <c r="P27" s="288" t="str">
        <f>IFERROR(CONCATENATE("-&gt; eltérés: ",ROUND(G23,2)),"-")</f>
        <v>-</v>
      </c>
      <c r="Q27" s="289"/>
      <c r="R27" s="290"/>
    </row>
    <row r="28" spans="1:18" ht="16.350000000000001" customHeight="1" x14ac:dyDescent="0.25">
      <c r="A28" t="s">
        <v>43</v>
      </c>
      <c r="B28" s="6" t="s">
        <v>44</v>
      </c>
      <c r="C28" s="82" t="s">
        <v>99</v>
      </c>
      <c r="D28" s="6" t="s">
        <v>44</v>
      </c>
      <c r="N28" s="291"/>
      <c r="O28" s="292"/>
      <c r="P28" s="291"/>
      <c r="Q28" s="293"/>
    </row>
    <row r="29" spans="1:18" ht="16.350000000000001" customHeight="1" x14ac:dyDescent="0.25">
      <c r="A29" t="s">
        <v>42</v>
      </c>
      <c r="B29" s="6" t="s">
        <v>44</v>
      </c>
      <c r="P29" s="15" t="s">
        <v>38</v>
      </c>
    </row>
    <row r="30" spans="1:18" ht="18" customHeight="1" x14ac:dyDescent="0.25">
      <c r="L30" s="438" t="s">
        <v>319</v>
      </c>
      <c r="M30" s="690"/>
      <c r="N30" s="732" t="s">
        <v>348</v>
      </c>
      <c r="O30" s="696"/>
      <c r="P30" s="696"/>
      <c r="Q30" s="697"/>
      <c r="R30" s="219" t="s">
        <v>339</v>
      </c>
    </row>
    <row r="31" spans="1:18" ht="18" customHeight="1" x14ac:dyDescent="0.25">
      <c r="A31" s="727" t="s">
        <v>109</v>
      </c>
      <c r="B31" s="529"/>
      <c r="C31" s="529"/>
      <c r="D31" s="529"/>
      <c r="E31" s="529"/>
      <c r="F31" s="529"/>
      <c r="L31" s="691"/>
      <c r="M31" s="692"/>
      <c r="N31" s="698"/>
      <c r="O31" s="699"/>
      <c r="P31" s="699"/>
      <c r="Q31" s="700"/>
      <c r="R31" s="220" t="s">
        <v>711</v>
      </c>
    </row>
    <row r="32" spans="1:18" ht="18" customHeight="1" thickBot="1" x14ac:dyDescent="0.3">
      <c r="A32" s="728"/>
      <c r="B32" s="729"/>
      <c r="C32" s="729"/>
      <c r="D32" s="729"/>
      <c r="E32" s="729"/>
      <c r="F32" s="729"/>
      <c r="L32" s="691"/>
      <c r="M32" s="692"/>
      <c r="N32" s="698"/>
      <c r="O32" s="699"/>
      <c r="P32" s="699"/>
      <c r="Q32" s="700"/>
      <c r="R32" s="275">
        <v>45398</v>
      </c>
    </row>
    <row r="33" spans="1:18" ht="18" customHeight="1" x14ac:dyDescent="0.25">
      <c r="A33" s="723" t="s">
        <v>2</v>
      </c>
      <c r="B33" s="723" t="s">
        <v>107</v>
      </c>
      <c r="C33" s="507" t="s">
        <v>18</v>
      </c>
      <c r="D33" s="507" t="s">
        <v>39</v>
      </c>
      <c r="E33" s="725" t="s">
        <v>40</v>
      </c>
      <c r="F33" s="725" t="s">
        <v>152</v>
      </c>
      <c r="L33" s="693"/>
      <c r="M33" s="694"/>
      <c r="N33" s="701"/>
      <c r="O33" s="702"/>
      <c r="P33" s="702"/>
      <c r="Q33" s="703"/>
      <c r="R33" s="221" t="s">
        <v>340</v>
      </c>
    </row>
    <row r="34" spans="1:18" ht="16.350000000000001" customHeight="1" thickBot="1" x14ac:dyDescent="0.3">
      <c r="A34" s="724"/>
      <c r="B34" s="724"/>
      <c r="C34" s="508"/>
      <c r="D34" s="508"/>
      <c r="E34" s="726"/>
      <c r="F34" s="726"/>
    </row>
    <row r="35" spans="1:18" ht="16.350000000000001" customHeight="1" x14ac:dyDescent="0.25">
      <c r="A35" s="724"/>
      <c r="B35" s="724"/>
      <c r="C35" s="508"/>
      <c r="D35" s="508"/>
      <c r="E35" s="726"/>
      <c r="F35" s="726"/>
      <c r="L35" s="704" t="s">
        <v>25</v>
      </c>
      <c r="M35" s="704" t="s">
        <v>26</v>
      </c>
      <c r="N35" s="707" t="s">
        <v>27</v>
      </c>
      <c r="O35" s="730" t="s">
        <v>249</v>
      </c>
      <c r="P35" s="730" t="s">
        <v>250</v>
      </c>
      <c r="Q35" s="688" t="str">
        <f>IF(H40="x","hőmérséklet
helyszíni","hőmérséklet
pH")</f>
        <v>hőmérséklet
pH</v>
      </c>
      <c r="R35" s="688" t="s">
        <v>151</v>
      </c>
    </row>
    <row r="36" spans="1:18" ht="16.350000000000001" customHeight="1" x14ac:dyDescent="0.25">
      <c r="A36" s="724"/>
      <c r="B36" s="724"/>
      <c r="C36" s="508"/>
      <c r="D36" s="508"/>
      <c r="E36" s="726"/>
      <c r="F36" s="726"/>
      <c r="L36" s="705"/>
      <c r="M36" s="705"/>
      <c r="N36" s="708"/>
      <c r="O36" s="731"/>
      <c r="P36" s="731"/>
      <c r="Q36" s="689"/>
      <c r="R36" s="689"/>
    </row>
    <row r="37" spans="1:18" ht="16.350000000000001" customHeight="1" thickBot="1" x14ac:dyDescent="0.3">
      <c r="A37" s="1" t="str">
        <f>Minták!W5</f>
        <v>1/IV-Nhhlz</v>
      </c>
      <c r="B37" s="69">
        <f>IF(Minták!E5="","-",Minták!E5)</f>
        <v>45292</v>
      </c>
      <c r="C37" s="4">
        <f>7.02</f>
        <v>7.02</v>
      </c>
      <c r="D37" s="4">
        <v>400</v>
      </c>
      <c r="E37" s="4">
        <v>20</v>
      </c>
      <c r="F37" s="4">
        <v>0.1</v>
      </c>
      <c r="G37" t="str">
        <f t="shared" ref="G37:G52" si="6">IFERROR(IF(F37&lt;VALUE(E$70),CONCATENATE("&lt;",E$70),IF(F37&lt;10,FIXED(F37,2),IF(F37&lt;100,FIXED(F37,1),IF(F37&lt;1000,FIXED(F37,0),FIXED(F37,-1))))),"-")</f>
        <v>0,10</v>
      </c>
      <c r="H37" s="276" t="s">
        <v>707</v>
      </c>
      <c r="I37" s="276"/>
      <c r="L37" s="706"/>
      <c r="M37" s="706"/>
      <c r="N37" s="709"/>
      <c r="O37" s="731"/>
      <c r="P37" s="731"/>
      <c r="Q37" s="225" t="s">
        <v>713</v>
      </c>
      <c r="R37" s="689"/>
    </row>
    <row r="38" spans="1:18" ht="16.350000000000001" customHeight="1" x14ac:dyDescent="0.25">
      <c r="A38" s="1" t="str">
        <f>Minták!W6</f>
        <v>2/IV-ADATOT BEÍRNI</v>
      </c>
      <c r="B38" s="69">
        <f>IF(Minták!E6="","-",Minták!E6)</f>
        <v>45293</v>
      </c>
      <c r="C38" s="4">
        <f>C37+0.02</f>
        <v>7.0399999999999991</v>
      </c>
      <c r="D38" s="4">
        <f>D37+5</f>
        <v>405</v>
      </c>
      <c r="E38" s="4">
        <f>E37+0.1</f>
        <v>20.100000000000001</v>
      </c>
      <c r="F38" s="4">
        <f>F37+0.02</f>
        <v>0.12000000000000001</v>
      </c>
      <c r="G38" t="str">
        <f t="shared" si="6"/>
        <v>0,12</v>
      </c>
      <c r="H38" s="332" t="s">
        <v>723</v>
      </c>
      <c r="I38" s="276"/>
      <c r="L38" s="230" t="str">
        <f>IF(Minták!D5="","",Minták!D5)</f>
        <v>1/IV</v>
      </c>
      <c r="M38" s="277" t="str">
        <f>B56</f>
        <v>-</v>
      </c>
      <c r="N38" s="278" t="str">
        <f>IF(Minták!H5="","",Minták!H5)</f>
        <v>Nhhlz</v>
      </c>
      <c r="O38" s="264" t="str">
        <f t="shared" ref="O38:O53" si="7">IFERROR(IF($A37="-","-",FIXED(C37,B$71)),"-")</f>
        <v>7,02</v>
      </c>
      <c r="P38" s="264" t="str">
        <f t="shared" ref="P38:P53" si="8">IFERROR(IF($A37="-","-",FIXED(D37,C$71)),"-")</f>
        <v>400</v>
      </c>
      <c r="Q38" s="264" t="str">
        <f t="shared" ref="Q38:Q53" si="9">IFERROR(IF($A37="-","-",FIXED(E37,D$71)),"-")</f>
        <v>20,0</v>
      </c>
      <c r="R38" s="279" t="str">
        <f t="shared" ref="R38:R53" si="10">IFERROR(IF($A37="-","-",G37),"-")</f>
        <v>0,10</v>
      </c>
    </row>
    <row r="39" spans="1:18" ht="16.350000000000001" customHeight="1" x14ac:dyDescent="0.25">
      <c r="A39" s="1" t="str">
        <f>Minták!W7</f>
        <v>3/KIV-ADATOT BEÍRNI</v>
      </c>
      <c r="B39" s="69">
        <f>IF(Minták!E7="","-",Minták!E7)</f>
        <v>45294</v>
      </c>
      <c r="C39" s="4">
        <f t="shared" ref="C39:C52" si="11">C38+0.02</f>
        <v>7.0599999999999987</v>
      </c>
      <c r="D39" s="4">
        <f t="shared" ref="D39:D52" si="12">D38+5</f>
        <v>410</v>
      </c>
      <c r="E39" s="4">
        <f t="shared" ref="E39:E52" si="13">E38+0.1</f>
        <v>20.200000000000003</v>
      </c>
      <c r="F39" s="4">
        <f t="shared" ref="F39:F52" si="14">F38+0.02</f>
        <v>0.14000000000000001</v>
      </c>
      <c r="G39" t="str">
        <f t="shared" si="6"/>
        <v>0,14</v>
      </c>
      <c r="H39" s="276" t="s">
        <v>708</v>
      </c>
      <c r="I39" s="276"/>
      <c r="L39" s="237" t="str">
        <f>IF(Minták!D6="","",Minták!D6)</f>
        <v>2/IV</v>
      </c>
      <c r="M39" s="280"/>
      <c r="N39" s="273" t="str">
        <f>IF(Minták!H6="","",Minták!H6)</f>
        <v>ADATOT BEÍRNI</v>
      </c>
      <c r="O39" s="265" t="str">
        <f t="shared" si="7"/>
        <v>7,04</v>
      </c>
      <c r="P39" s="265" t="str">
        <f t="shared" si="8"/>
        <v>405</v>
      </c>
      <c r="Q39" s="265" t="str">
        <f t="shared" si="9"/>
        <v>20,1</v>
      </c>
      <c r="R39" s="270" t="str">
        <f t="shared" si="10"/>
        <v>0,12</v>
      </c>
    </row>
    <row r="40" spans="1:18" ht="16.350000000000001" customHeight="1" x14ac:dyDescent="0.25">
      <c r="A40" s="1" t="str">
        <f>Minták!W8</f>
        <v>4/IV-Ebnxscqc</v>
      </c>
      <c r="B40" s="69">
        <f>IF(Minták!E8="","-",Minták!E8)</f>
        <v>45295</v>
      </c>
      <c r="C40" s="4">
        <f t="shared" si="11"/>
        <v>7.0799999999999983</v>
      </c>
      <c r="D40" s="4">
        <f t="shared" si="12"/>
        <v>415</v>
      </c>
      <c r="E40" s="4">
        <f t="shared" si="13"/>
        <v>20.300000000000004</v>
      </c>
      <c r="F40" s="4">
        <f t="shared" si="14"/>
        <v>0.16</v>
      </c>
      <c r="G40" t="str">
        <f t="shared" si="6"/>
        <v>0,16</v>
      </c>
      <c r="H40" s="340" t="s">
        <v>44</v>
      </c>
      <c r="I40" s="276"/>
      <c r="L40" s="237" t="str">
        <f>IF(Minták!D7="","",Minták!D7)</f>
        <v>3/KIV</v>
      </c>
      <c r="M40" s="280"/>
      <c r="N40" s="273" t="str">
        <f>IF(Minták!H7="","",Minták!H7)</f>
        <v>ADATOT BEÍRNI</v>
      </c>
      <c r="O40" s="265" t="str">
        <f t="shared" si="7"/>
        <v>7,06</v>
      </c>
      <c r="P40" s="265" t="str">
        <f t="shared" si="8"/>
        <v>410</v>
      </c>
      <c r="Q40" s="265" t="str">
        <f t="shared" si="9"/>
        <v>20,2</v>
      </c>
      <c r="R40" s="270" t="str">
        <f t="shared" si="10"/>
        <v>0,14</v>
      </c>
    </row>
    <row r="41" spans="1:18" ht="16.350000000000001" customHeight="1" x14ac:dyDescent="0.25">
      <c r="A41" s="1" t="str">
        <f>Minták!W9</f>
        <v>5/IV-Ubqpva</v>
      </c>
      <c r="B41" s="69">
        <f>IF(Minták!E9="","-",Minták!E9)</f>
        <v>45296</v>
      </c>
      <c r="C41" s="4">
        <f t="shared" si="11"/>
        <v>7.0999999999999979</v>
      </c>
      <c r="D41" s="4">
        <f t="shared" si="12"/>
        <v>420</v>
      </c>
      <c r="E41" s="4">
        <f t="shared" si="13"/>
        <v>20.400000000000006</v>
      </c>
      <c r="F41" s="4">
        <f t="shared" si="14"/>
        <v>0.18</v>
      </c>
      <c r="G41" t="str">
        <f t="shared" si="6"/>
        <v>0,18</v>
      </c>
      <c r="L41" s="237" t="str">
        <f>IF(Minták!D8="","",Minták!D8)</f>
        <v>4/IV</v>
      </c>
      <c r="M41" s="280"/>
      <c r="N41" s="273" t="str">
        <f>IF(Minták!H8="","",Minták!H8)</f>
        <v>Ebnxscqc</v>
      </c>
      <c r="O41" s="265" t="str">
        <f t="shared" si="7"/>
        <v>7,08</v>
      </c>
      <c r="P41" s="265" t="str">
        <f t="shared" si="8"/>
        <v>415</v>
      </c>
      <c r="Q41" s="265" t="str">
        <f t="shared" si="9"/>
        <v>20,3</v>
      </c>
      <c r="R41" s="270" t="str">
        <f t="shared" si="10"/>
        <v>0,16</v>
      </c>
    </row>
    <row r="42" spans="1:18" ht="16.350000000000001" customHeight="1" x14ac:dyDescent="0.25">
      <c r="A42" s="1" t="str">
        <f>Minták!W10</f>
        <v>6/IV-Eouypz</v>
      </c>
      <c r="B42" s="69">
        <f>IF(Minták!E10="","-",Minták!E10)</f>
        <v>45297</v>
      </c>
      <c r="C42" s="4">
        <f t="shared" si="11"/>
        <v>7.1199999999999974</v>
      </c>
      <c r="D42" s="4">
        <f t="shared" si="12"/>
        <v>425</v>
      </c>
      <c r="E42" s="4">
        <f t="shared" si="13"/>
        <v>20.500000000000007</v>
      </c>
      <c r="F42" s="4">
        <f t="shared" si="14"/>
        <v>0.19999999999999998</v>
      </c>
      <c r="G42" t="str">
        <f t="shared" si="6"/>
        <v>0,20</v>
      </c>
      <c r="L42" s="237" t="str">
        <f>IF(Minták!D9="","",Minták!D9)</f>
        <v>5/IV</v>
      </c>
      <c r="M42" s="280"/>
      <c r="N42" s="273" t="str">
        <f>IF(Minták!H9="","",Minták!H9)</f>
        <v>Ubqpva</v>
      </c>
      <c r="O42" s="265" t="str">
        <f t="shared" si="7"/>
        <v>7,10</v>
      </c>
      <c r="P42" s="265" t="str">
        <f t="shared" si="8"/>
        <v>420</v>
      </c>
      <c r="Q42" s="265" t="str">
        <f t="shared" si="9"/>
        <v>20,4</v>
      </c>
      <c r="R42" s="270" t="str">
        <f t="shared" si="10"/>
        <v>0,18</v>
      </c>
    </row>
    <row r="43" spans="1:18" ht="16.350000000000001" customHeight="1" x14ac:dyDescent="0.25">
      <c r="A43" s="1" t="str">
        <f>Minták!W11</f>
        <v>7/IV-Rkohqy</v>
      </c>
      <c r="B43" s="69">
        <f>IF(Minták!E11="","-",Minták!E11)</f>
        <v>45298</v>
      </c>
      <c r="C43" s="4">
        <f t="shared" si="11"/>
        <v>7.139999999999997</v>
      </c>
      <c r="D43" s="4">
        <f t="shared" si="12"/>
        <v>430</v>
      </c>
      <c r="E43" s="4">
        <f t="shared" si="13"/>
        <v>20.600000000000009</v>
      </c>
      <c r="F43" s="4">
        <f t="shared" si="14"/>
        <v>0.21999999999999997</v>
      </c>
      <c r="G43" t="str">
        <f t="shared" si="6"/>
        <v>0,22</v>
      </c>
      <c r="L43" s="237" t="str">
        <f>IF(Minták!D10="","",Minták!D10)</f>
        <v>6/IV</v>
      </c>
      <c r="M43" s="280"/>
      <c r="N43" s="273" t="str">
        <f>IF(Minták!H10="","",Minták!H10)</f>
        <v>Eouypz</v>
      </c>
      <c r="O43" s="265" t="str">
        <f t="shared" si="7"/>
        <v>7,12</v>
      </c>
      <c r="P43" s="265" t="str">
        <f t="shared" si="8"/>
        <v>425</v>
      </c>
      <c r="Q43" s="265" t="str">
        <f t="shared" si="9"/>
        <v>20,5</v>
      </c>
      <c r="R43" s="270" t="str">
        <f t="shared" si="10"/>
        <v>0,20</v>
      </c>
    </row>
    <row r="44" spans="1:18" ht="16.350000000000001" customHeight="1" x14ac:dyDescent="0.25">
      <c r="A44" s="1" t="str">
        <f>Minták!W12</f>
        <v>8/IV-Vxhhmc</v>
      </c>
      <c r="B44" s="69">
        <f>IF(Minták!E12="","-",Minták!E12)</f>
        <v>45299</v>
      </c>
      <c r="C44" s="4">
        <f t="shared" si="11"/>
        <v>7.1599999999999966</v>
      </c>
      <c r="D44" s="4">
        <f t="shared" si="12"/>
        <v>435</v>
      </c>
      <c r="E44" s="4">
        <f t="shared" si="13"/>
        <v>20.70000000000001</v>
      </c>
      <c r="F44" s="4">
        <f t="shared" si="14"/>
        <v>0.23999999999999996</v>
      </c>
      <c r="G44" t="str">
        <f t="shared" si="6"/>
        <v>0,24</v>
      </c>
      <c r="L44" s="237" t="str">
        <f>IF(Minták!D11="","",Minták!D11)</f>
        <v>7/IV</v>
      </c>
      <c r="M44" s="280"/>
      <c r="N44" s="273" t="str">
        <f>IF(Minták!H11="","",Minták!H11)</f>
        <v>Rkohqy</v>
      </c>
      <c r="O44" s="265" t="str">
        <f t="shared" si="7"/>
        <v>7,14</v>
      </c>
      <c r="P44" s="265" t="str">
        <f t="shared" si="8"/>
        <v>430</v>
      </c>
      <c r="Q44" s="265" t="str">
        <f t="shared" si="9"/>
        <v>20,6</v>
      </c>
      <c r="R44" s="270" t="str">
        <f t="shared" si="10"/>
        <v>0,22</v>
      </c>
    </row>
    <row r="45" spans="1:18" ht="16.350000000000001" customHeight="1" x14ac:dyDescent="0.25">
      <c r="A45" s="1" t="str">
        <f>Minták!W13</f>
        <v>9/IV-Msdxtl</v>
      </c>
      <c r="B45" s="69">
        <f>IF(Minták!E13="","-",Minták!E13)</f>
        <v>45300</v>
      </c>
      <c r="C45" s="4">
        <f t="shared" si="11"/>
        <v>7.1799999999999962</v>
      </c>
      <c r="D45" s="4">
        <f t="shared" si="12"/>
        <v>440</v>
      </c>
      <c r="E45" s="4">
        <f t="shared" si="13"/>
        <v>20.800000000000011</v>
      </c>
      <c r="F45" s="4">
        <f t="shared" si="14"/>
        <v>0.25999999999999995</v>
      </c>
      <c r="G45" t="str">
        <f t="shared" si="6"/>
        <v>0,26</v>
      </c>
      <c r="L45" s="237" t="str">
        <f>IF(Minták!D12="","",Minták!D12)</f>
        <v>8/IV</v>
      </c>
      <c r="M45" s="280"/>
      <c r="N45" s="273" t="str">
        <f>IF(Minták!H12="","",Minták!H12)</f>
        <v>Vxhhmc</v>
      </c>
      <c r="O45" s="265" t="str">
        <f t="shared" si="7"/>
        <v>7,16</v>
      </c>
      <c r="P45" s="265" t="str">
        <f t="shared" si="8"/>
        <v>435</v>
      </c>
      <c r="Q45" s="265" t="str">
        <f t="shared" si="9"/>
        <v>20,7</v>
      </c>
      <c r="R45" s="270" t="str">
        <f t="shared" si="10"/>
        <v>0,24</v>
      </c>
    </row>
    <row r="46" spans="1:18" ht="16.350000000000001" customHeight="1" x14ac:dyDescent="0.25">
      <c r="A46" s="1" t="str">
        <f>Minták!W14</f>
        <v>10/IV-Qoldnt</v>
      </c>
      <c r="B46" s="69">
        <f>IF(Minták!E14="","-",Minták!E14)</f>
        <v>45301</v>
      </c>
      <c r="C46" s="4">
        <f t="shared" si="11"/>
        <v>7.1999999999999957</v>
      </c>
      <c r="D46" s="4">
        <f t="shared" si="12"/>
        <v>445</v>
      </c>
      <c r="E46" s="4">
        <f t="shared" si="13"/>
        <v>20.900000000000013</v>
      </c>
      <c r="F46" s="4">
        <f t="shared" si="14"/>
        <v>0.27999999999999997</v>
      </c>
      <c r="G46" t="str">
        <f t="shared" si="6"/>
        <v>0,28</v>
      </c>
      <c r="L46" s="237" t="str">
        <f>IF(Minták!D13="","",Minták!D13)</f>
        <v>9/IV</v>
      </c>
      <c r="M46" s="280"/>
      <c r="N46" s="273" t="str">
        <f>IF(Minták!H13="","",Minták!H13)</f>
        <v>Msdxtl</v>
      </c>
      <c r="O46" s="265" t="str">
        <f t="shared" si="7"/>
        <v>7,18</v>
      </c>
      <c r="P46" s="265" t="str">
        <f t="shared" si="8"/>
        <v>440</v>
      </c>
      <c r="Q46" s="265" t="str">
        <f t="shared" si="9"/>
        <v>20,8</v>
      </c>
      <c r="R46" s="270" t="str">
        <f t="shared" si="10"/>
        <v>0,26</v>
      </c>
    </row>
    <row r="47" spans="1:18" ht="16.350000000000001" customHeight="1" x14ac:dyDescent="0.25">
      <c r="A47" s="1" t="str">
        <f>Minták!W15</f>
        <v>11/IV-Qnvptf</v>
      </c>
      <c r="B47" s="69">
        <f>IF(Minták!E15="","-",Minták!E15)</f>
        <v>45302</v>
      </c>
      <c r="C47" s="4">
        <f t="shared" si="11"/>
        <v>7.2199999999999953</v>
      </c>
      <c r="D47" s="4">
        <f t="shared" si="12"/>
        <v>450</v>
      </c>
      <c r="E47" s="4">
        <f t="shared" si="13"/>
        <v>21.000000000000014</v>
      </c>
      <c r="F47" s="4">
        <f t="shared" si="14"/>
        <v>0.3</v>
      </c>
      <c r="G47" t="str">
        <f t="shared" si="6"/>
        <v>0,30</v>
      </c>
      <c r="L47" s="237" t="str">
        <f>IF(Minták!D14="","",Minták!D14)</f>
        <v>10/IV</v>
      </c>
      <c r="M47" s="280"/>
      <c r="N47" s="273" t="str">
        <f>IF(Minták!H14="","",Minták!H14)</f>
        <v>Qoldnt</v>
      </c>
      <c r="O47" s="265" t="str">
        <f t="shared" si="7"/>
        <v>7,20</v>
      </c>
      <c r="P47" s="265" t="str">
        <f t="shared" si="8"/>
        <v>445</v>
      </c>
      <c r="Q47" s="265" t="str">
        <f t="shared" si="9"/>
        <v>20,9</v>
      </c>
      <c r="R47" s="270" t="str">
        <f t="shared" si="10"/>
        <v>0,28</v>
      </c>
    </row>
    <row r="48" spans="1:18" ht="16.350000000000001" customHeight="1" x14ac:dyDescent="0.25">
      <c r="A48" s="1" t="str">
        <f>Minták!W16</f>
        <v>12/IV-Lebdoq</v>
      </c>
      <c r="B48" s="69">
        <f>IF(Minták!E16="","-",Minták!E16)</f>
        <v>45303</v>
      </c>
      <c r="C48" s="4">
        <f t="shared" si="11"/>
        <v>7.2399999999999949</v>
      </c>
      <c r="D48" s="4">
        <f t="shared" si="12"/>
        <v>455</v>
      </c>
      <c r="E48" s="4">
        <f t="shared" si="13"/>
        <v>21.100000000000016</v>
      </c>
      <c r="F48" s="4">
        <f t="shared" si="14"/>
        <v>0.32</v>
      </c>
      <c r="G48" t="str">
        <f t="shared" si="6"/>
        <v>0,32</v>
      </c>
      <c r="L48" s="237" t="str">
        <f>IF(Minták!D15="","",Minták!D15)</f>
        <v>11/IV</v>
      </c>
      <c r="M48" s="280"/>
      <c r="N48" s="273" t="str">
        <f>IF(Minták!H15="","",Minták!H15)</f>
        <v>Qnvptf</v>
      </c>
      <c r="O48" s="265" t="str">
        <f t="shared" si="7"/>
        <v>7,22</v>
      </c>
      <c r="P48" s="265" t="str">
        <f t="shared" si="8"/>
        <v>450</v>
      </c>
      <c r="Q48" s="265" t="str">
        <f t="shared" si="9"/>
        <v>21,0</v>
      </c>
      <c r="R48" s="270" t="str">
        <f t="shared" si="10"/>
        <v>0,30</v>
      </c>
    </row>
    <row r="49" spans="1:18" ht="16.350000000000001" customHeight="1" x14ac:dyDescent="0.25">
      <c r="A49" s="1" t="str">
        <f>Minták!W17</f>
        <v>13/IV-Askfua</v>
      </c>
      <c r="B49" s="69">
        <f>IF(Minták!E17="","-",Minták!E17)</f>
        <v>45304</v>
      </c>
      <c r="C49" s="4">
        <f t="shared" si="11"/>
        <v>7.2599999999999945</v>
      </c>
      <c r="D49" s="4">
        <f t="shared" si="12"/>
        <v>460</v>
      </c>
      <c r="E49" s="4">
        <f t="shared" si="13"/>
        <v>21.200000000000017</v>
      </c>
      <c r="F49" s="4">
        <f t="shared" si="14"/>
        <v>0.34</v>
      </c>
      <c r="G49" t="str">
        <f t="shared" si="6"/>
        <v>0,34</v>
      </c>
      <c r="L49" s="237" t="str">
        <f>IF(Minták!D16="","",Minták!D16)</f>
        <v>12/IV</v>
      </c>
      <c r="M49" s="280"/>
      <c r="N49" s="273" t="str">
        <f>IF(Minták!H16="","",Minták!H16)</f>
        <v>Lebdoq</v>
      </c>
      <c r="O49" s="265" t="str">
        <f t="shared" si="7"/>
        <v>7,24</v>
      </c>
      <c r="P49" s="265" t="str">
        <f t="shared" si="8"/>
        <v>455</v>
      </c>
      <c r="Q49" s="265" t="str">
        <f t="shared" si="9"/>
        <v>21,1</v>
      </c>
      <c r="R49" s="270" t="str">
        <f t="shared" si="10"/>
        <v>0,32</v>
      </c>
    </row>
    <row r="50" spans="1:18" ht="16.350000000000001" customHeight="1" x14ac:dyDescent="0.25">
      <c r="A50" s="1" t="str">
        <f>Minták!W18</f>
        <v>14/IV-Mcsjny</v>
      </c>
      <c r="B50" s="69">
        <f>IF(Minták!E18="","-",Minták!E18)</f>
        <v>45305</v>
      </c>
      <c r="C50" s="4">
        <f t="shared" si="11"/>
        <v>7.279999999999994</v>
      </c>
      <c r="D50" s="4">
        <f t="shared" si="12"/>
        <v>465</v>
      </c>
      <c r="E50" s="4">
        <f t="shared" si="13"/>
        <v>21.300000000000018</v>
      </c>
      <c r="F50" s="4">
        <f t="shared" si="14"/>
        <v>0.36000000000000004</v>
      </c>
      <c r="G50" t="str">
        <f t="shared" si="6"/>
        <v>0,36</v>
      </c>
      <c r="L50" s="237" t="str">
        <f>IF(Minták!D17="","",Minták!D17)</f>
        <v>13/IV</v>
      </c>
      <c r="M50" s="280"/>
      <c r="N50" s="273" t="str">
        <f>IF(Minták!H17="","",Minták!H17)</f>
        <v>Askfua</v>
      </c>
      <c r="O50" s="265" t="str">
        <f t="shared" si="7"/>
        <v>7,26</v>
      </c>
      <c r="P50" s="265" t="str">
        <f t="shared" si="8"/>
        <v>460</v>
      </c>
      <c r="Q50" s="265" t="str">
        <f t="shared" si="9"/>
        <v>21,2</v>
      </c>
      <c r="R50" s="270" t="str">
        <f t="shared" si="10"/>
        <v>0,34</v>
      </c>
    </row>
    <row r="51" spans="1:18" ht="16.350000000000001" customHeight="1" x14ac:dyDescent="0.25">
      <c r="A51" s="1" t="str">
        <f>Minták!W19</f>
        <v>15/IV-Rskdom</v>
      </c>
      <c r="B51" s="69">
        <f>IF(Minták!E19="","-",Minták!E19)</f>
        <v>45306</v>
      </c>
      <c r="C51" s="4">
        <f t="shared" si="11"/>
        <v>7.2999999999999936</v>
      </c>
      <c r="D51" s="4">
        <f t="shared" si="12"/>
        <v>470</v>
      </c>
      <c r="E51" s="4">
        <f t="shared" si="13"/>
        <v>21.40000000000002</v>
      </c>
      <c r="F51" s="4">
        <f t="shared" si="14"/>
        <v>0.38000000000000006</v>
      </c>
      <c r="G51" t="str">
        <f t="shared" si="6"/>
        <v>0,38</v>
      </c>
      <c r="L51" s="237" t="str">
        <f>IF(Minták!D18="","",Minták!D18)</f>
        <v>14/IV</v>
      </c>
      <c r="M51" s="280"/>
      <c r="N51" s="273" t="str">
        <f>IF(Minták!H18="","",Minták!H18)</f>
        <v>Mcsjny</v>
      </c>
      <c r="O51" s="265" t="str">
        <f t="shared" si="7"/>
        <v>7,28</v>
      </c>
      <c r="P51" s="265" t="str">
        <f t="shared" si="8"/>
        <v>465</v>
      </c>
      <c r="Q51" s="265" t="str">
        <f t="shared" si="9"/>
        <v>21,3</v>
      </c>
      <c r="R51" s="270" t="str">
        <f t="shared" si="10"/>
        <v>0,36</v>
      </c>
    </row>
    <row r="52" spans="1:18" ht="16.350000000000001" customHeight="1" x14ac:dyDescent="0.25">
      <c r="A52" s="1" t="str">
        <f>Minták!W20</f>
        <v>16/IV-Jyhjzbmb</v>
      </c>
      <c r="B52" s="69">
        <f>IF(Minták!E20="","-",Minták!E20)</f>
        <v>45307</v>
      </c>
      <c r="C52" s="4">
        <f t="shared" si="11"/>
        <v>7.3199999999999932</v>
      </c>
      <c r="D52" s="4">
        <f t="shared" si="12"/>
        <v>475</v>
      </c>
      <c r="E52" s="4">
        <f t="shared" si="13"/>
        <v>21.500000000000021</v>
      </c>
      <c r="F52" s="4">
        <f t="shared" si="14"/>
        <v>0.40000000000000008</v>
      </c>
      <c r="G52" t="str">
        <f t="shared" si="6"/>
        <v>0,40</v>
      </c>
      <c r="L52" s="237" t="str">
        <f>IF(Minták!D19="","",Minták!D19)</f>
        <v>15/IV</v>
      </c>
      <c r="M52" s="280"/>
      <c r="N52" s="273" t="str">
        <f>IF(Minták!H19="","",Minták!H19)</f>
        <v>Rskdom</v>
      </c>
      <c r="O52" s="265" t="str">
        <f t="shared" si="7"/>
        <v>7,30</v>
      </c>
      <c r="P52" s="265" t="str">
        <f t="shared" si="8"/>
        <v>470</v>
      </c>
      <c r="Q52" s="265" t="str">
        <f t="shared" si="9"/>
        <v>21,4</v>
      </c>
      <c r="R52" s="270" t="str">
        <f t="shared" si="10"/>
        <v>0,38</v>
      </c>
    </row>
    <row r="53" spans="1:18" ht="16.350000000000001" customHeight="1" x14ac:dyDescent="0.25">
      <c r="A53" s="18" t="s">
        <v>91</v>
      </c>
      <c r="B53" s="69" t="s">
        <v>44</v>
      </c>
      <c r="C53" s="6" t="s">
        <v>44</v>
      </c>
      <c r="D53" s="186" t="s">
        <v>44</v>
      </c>
      <c r="E53" s="186" t="s">
        <v>44</v>
      </c>
      <c r="F53" s="52" t="s">
        <v>100</v>
      </c>
      <c r="G53" s="52" t="e">
        <f>C53-VLOOKUP(A53,$A$63:$B$65,2,FALSE)</f>
        <v>#VALUE!</v>
      </c>
      <c r="L53" s="237" t="str">
        <f>IF(Minták!D20="","",Minták!D20)</f>
        <v>16/IV</v>
      </c>
      <c r="M53" s="280"/>
      <c r="N53" s="273" t="str">
        <f>IF(Minták!H20="","",Minták!H20)</f>
        <v>Jyhjzbmb</v>
      </c>
      <c r="O53" s="265" t="str">
        <f t="shared" si="7"/>
        <v>7,32</v>
      </c>
      <c r="P53" s="265" t="str">
        <f t="shared" si="8"/>
        <v>475</v>
      </c>
      <c r="Q53" s="265" t="str">
        <f t="shared" si="9"/>
        <v>21,5</v>
      </c>
      <c r="R53" s="281" t="str">
        <f t="shared" si="10"/>
        <v>0,40</v>
      </c>
    </row>
    <row r="54" spans="1:18" ht="16.350000000000001" customHeight="1" thickBot="1" x14ac:dyDescent="0.3">
      <c r="A54" s="18" t="s">
        <v>105</v>
      </c>
      <c r="B54" s="69" t="s">
        <v>44</v>
      </c>
      <c r="C54" s="186" t="s">
        <v>44</v>
      </c>
      <c r="D54" s="6" t="s">
        <v>44</v>
      </c>
      <c r="E54" s="186" t="s">
        <v>44</v>
      </c>
      <c r="F54" s="52" t="s">
        <v>100</v>
      </c>
      <c r="G54" s="52" t="e">
        <f>D54-VLOOKUP(A54,$D$63:$E$65,2,FALSE)</f>
        <v>#VALUE!</v>
      </c>
      <c r="L54" s="282"/>
      <c r="M54" s="283"/>
      <c r="N54" s="283"/>
      <c r="O54" s="265" t="str">
        <f>CONCATENATE(A58," ",B58)</f>
        <v>Slp: -</v>
      </c>
      <c r="P54" s="265" t="str">
        <f>CONCATENATE(C58," ",D58)</f>
        <v>Cellaállandó: -</v>
      </c>
      <c r="Q54" s="284"/>
      <c r="R54" s="272"/>
    </row>
    <row r="55" spans="1:18" ht="16.350000000000001" customHeight="1" x14ac:dyDescent="0.25">
      <c r="L55" s="285" t="str">
        <f>H38</f>
        <v>x</v>
      </c>
      <c r="M55" s="719" t="s">
        <v>709</v>
      </c>
      <c r="N55" s="720"/>
      <c r="O55" s="265" t="str">
        <f>CONCATENATE(A59," ",B59)</f>
        <v>Asy: -</v>
      </c>
      <c r="P55" s="238" t="str">
        <f>CONCATENATE(A54,": ",D54)</f>
        <v>QC2 (132,8): -</v>
      </c>
      <c r="Q55" s="16" t="str">
        <f>IFERROR(CONCATENATE("-&gt; eltérés: ",ROUND(G54,0)),"-")</f>
        <v>-</v>
      </c>
      <c r="R55" s="286" t="str">
        <f>IFERROR(CONCATENATE("(",ROUND(G54/(D54-G54)*100,1),"%)"),"-")</f>
        <v>-</v>
      </c>
    </row>
    <row r="56" spans="1:18" ht="16.350000000000001" customHeight="1" thickBot="1" x14ac:dyDescent="0.3">
      <c r="A56" t="s">
        <v>110</v>
      </c>
      <c r="B56" s="9" t="s">
        <v>44</v>
      </c>
      <c r="L56" s="254" t="str">
        <f>H40</f>
        <v>-</v>
      </c>
      <c r="M56" s="721" t="s">
        <v>710</v>
      </c>
      <c r="N56" s="722"/>
      <c r="O56" s="287" t="str">
        <f>CONCATENATE(A53,": ",C53)</f>
        <v>QC3 (10,01): -</v>
      </c>
      <c r="P56" s="288" t="str">
        <f>IFERROR(CONCATENATE("-&gt; eltérés: ",ROUND(G53,2)),"-")</f>
        <v>-</v>
      </c>
      <c r="Q56" s="289"/>
      <c r="R56" s="290"/>
    </row>
    <row r="57" spans="1:18" ht="16.350000000000001" customHeight="1" x14ac:dyDescent="0.25">
      <c r="A57" t="s">
        <v>41</v>
      </c>
      <c r="N57" s="291"/>
      <c r="O57" s="292"/>
      <c r="P57" s="291"/>
      <c r="Q57" s="293"/>
    </row>
    <row r="58" spans="1:18" ht="16.350000000000001" customHeight="1" x14ac:dyDescent="0.25">
      <c r="A58" t="s">
        <v>43</v>
      </c>
      <c r="B58" s="6" t="s">
        <v>44</v>
      </c>
      <c r="C58" s="82" t="s">
        <v>99</v>
      </c>
      <c r="D58" s="6" t="s">
        <v>44</v>
      </c>
      <c r="P58" s="15" t="s">
        <v>38</v>
      </c>
    </row>
    <row r="59" spans="1:18" ht="16.350000000000001" customHeight="1" x14ac:dyDescent="0.25">
      <c r="A59" t="s">
        <v>42</v>
      </c>
      <c r="B59" s="6" t="s">
        <v>44</v>
      </c>
    </row>
    <row r="60" spans="1:18" ht="16.350000000000001" customHeight="1" x14ac:dyDescent="0.25"/>
    <row r="61" spans="1:18" ht="16.350000000000001" customHeight="1" x14ac:dyDescent="0.25"/>
    <row r="62" spans="1:18" ht="16.350000000000001" customHeight="1" x14ac:dyDescent="0.25">
      <c r="A62" t="s">
        <v>92</v>
      </c>
      <c r="B62" t="s">
        <v>87</v>
      </c>
      <c r="D62" t="s">
        <v>93</v>
      </c>
      <c r="E62" t="s">
        <v>98</v>
      </c>
    </row>
    <row r="63" spans="1:18" ht="16.350000000000001" customHeight="1" x14ac:dyDescent="0.25">
      <c r="A63" s="1" t="str">
        <f>Minták!DW9</f>
        <v>QC1 (4,01)</v>
      </c>
      <c r="B63" s="1">
        <f>Minták!DX9</f>
        <v>4.01</v>
      </c>
      <c r="D63" s="1" t="str">
        <f>Minták!DW10</f>
        <v>QC1 (1276)</v>
      </c>
      <c r="E63" s="1">
        <f>Minták!DX10</f>
        <v>1276</v>
      </c>
    </row>
    <row r="64" spans="1:18" ht="16.350000000000001" customHeight="1" x14ac:dyDescent="0.25">
      <c r="A64" s="1" t="str">
        <f>Minták!DY9</f>
        <v>QC2 (7,00)</v>
      </c>
      <c r="B64" s="1">
        <f>Minták!DZ9</f>
        <v>7</v>
      </c>
      <c r="D64" s="1" t="str">
        <f>Minták!DY10</f>
        <v>QC2 (132,8)</v>
      </c>
      <c r="E64" s="1">
        <f>Minták!DZ10</f>
        <v>132.80000000000001</v>
      </c>
    </row>
    <row r="65" spans="1:5" ht="16.350000000000001" customHeight="1" x14ac:dyDescent="0.25">
      <c r="A65" s="1" t="str">
        <f>Minták!EA9</f>
        <v>QC3 (10,01)</v>
      </c>
      <c r="B65" s="1">
        <f>Minták!EB9</f>
        <v>10.01</v>
      </c>
      <c r="D65" s="1" t="str">
        <f>Minták!EA10</f>
        <v>-</v>
      </c>
      <c r="E65" s="1" t="str">
        <f>Minták!EB10</f>
        <v>-</v>
      </c>
    </row>
    <row r="66" spans="1:5" ht="16.350000000000001" customHeight="1" x14ac:dyDescent="0.25"/>
    <row r="67" spans="1:5" ht="16.350000000000001" customHeight="1" x14ac:dyDescent="0.25"/>
    <row r="68" spans="1:5" ht="16.350000000000001" customHeight="1" x14ac:dyDescent="0.25"/>
    <row r="69" spans="1:5" ht="16.350000000000001" customHeight="1" x14ac:dyDescent="0.25">
      <c r="B69" s="52" t="s">
        <v>18</v>
      </c>
      <c r="C69" s="52" t="s">
        <v>39</v>
      </c>
      <c r="D69" s="52" t="s">
        <v>59</v>
      </c>
      <c r="E69" s="52" t="s">
        <v>152</v>
      </c>
    </row>
    <row r="70" spans="1:5" ht="16.350000000000001" customHeight="1" x14ac:dyDescent="0.25">
      <c r="A70" t="s">
        <v>54</v>
      </c>
      <c r="B70" s="294" t="str">
        <f>Minták!DU9</f>
        <v>-</v>
      </c>
      <c r="C70" s="294">
        <f>Minták!DU10</f>
        <v>10</v>
      </c>
      <c r="D70" s="294" t="str">
        <f>Minták!DU11</f>
        <v>-</v>
      </c>
      <c r="E70" s="294" t="str">
        <f>Minták!DU12</f>
        <v>0,10</v>
      </c>
    </row>
    <row r="71" spans="1:5" ht="16.350000000000001" customHeight="1" x14ac:dyDescent="0.25">
      <c r="A71" t="s">
        <v>55</v>
      </c>
      <c r="B71" s="186">
        <f>Minták!DV9</f>
        <v>2</v>
      </c>
      <c r="C71" s="186">
        <f>Minták!DV10</f>
        <v>0</v>
      </c>
      <c r="D71" s="186">
        <f>Minták!DV11</f>
        <v>1</v>
      </c>
      <c r="E71" s="186" t="str">
        <f>Minták!DV12</f>
        <v>képlet</v>
      </c>
    </row>
    <row r="72" spans="1:5" ht="16.350000000000001" customHeight="1" x14ac:dyDescent="0.25"/>
    <row r="73" spans="1:5" ht="16.350000000000001" customHeight="1" x14ac:dyDescent="0.25"/>
    <row r="74" spans="1:5" ht="16.350000000000001" customHeight="1" x14ac:dyDescent="0.25"/>
    <row r="75" spans="1:5" ht="16.350000000000001" customHeight="1" x14ac:dyDescent="0.25"/>
    <row r="76" spans="1:5" ht="16.350000000000001" customHeight="1" x14ac:dyDescent="0.25"/>
    <row r="77" spans="1:5" ht="16.350000000000001" customHeight="1" x14ac:dyDescent="0.25"/>
    <row r="78" spans="1:5" ht="16.350000000000001" customHeight="1" x14ac:dyDescent="0.25"/>
    <row r="79" spans="1:5" ht="16.350000000000001" customHeight="1" x14ac:dyDescent="0.25"/>
    <row r="80" spans="1:5" ht="16.350000000000001" customHeight="1" x14ac:dyDescent="0.25"/>
    <row r="81" ht="16.350000000000001" customHeight="1" x14ac:dyDescent="0.25"/>
    <row r="82" ht="16.350000000000001" customHeight="1" x14ac:dyDescent="0.25"/>
  </sheetData>
  <sheetProtection algorithmName="SHA-512" hashValue="hZnkmc55vMEjX/caRDV6lf6uM07wg1mE44SjXsV/rS0Wen+a1o68wP3ndASczTUm+z1WY3vV3acsSllcOVB/qA==" saltValue="PrkdvvtpLR7UqBa8uaKLEA==" spinCount="100000" sheet="1" objects="1" scenarios="1"/>
  <mergeCells count="36">
    <mergeCell ref="Q35:Q36"/>
    <mergeCell ref="R35:R37"/>
    <mergeCell ref="A33:A36"/>
    <mergeCell ref="B33:B36"/>
    <mergeCell ref="C33:C36"/>
    <mergeCell ref="D33:D36"/>
    <mergeCell ref="E33:E36"/>
    <mergeCell ref="L30:M33"/>
    <mergeCell ref="N30:Q33"/>
    <mergeCell ref="L35:L37"/>
    <mergeCell ref="M35:M37"/>
    <mergeCell ref="N35:N37"/>
    <mergeCell ref="O35:O37"/>
    <mergeCell ref="P35:P37"/>
    <mergeCell ref="F33:F36"/>
    <mergeCell ref="A31:F32"/>
    <mergeCell ref="R6:R8"/>
    <mergeCell ref="N1:Q4"/>
    <mergeCell ref="O6:O8"/>
    <mergeCell ref="P6:P8"/>
    <mergeCell ref="Q6:Q7"/>
    <mergeCell ref="A3:A6"/>
    <mergeCell ref="C3:C6"/>
    <mergeCell ref="D3:D6"/>
    <mergeCell ref="E3:E6"/>
    <mergeCell ref="L1:M4"/>
    <mergeCell ref="B3:B6"/>
    <mergeCell ref="F3:F6"/>
    <mergeCell ref="A1:F2"/>
    <mergeCell ref="M55:N55"/>
    <mergeCell ref="M56:N56"/>
    <mergeCell ref="M26:N26"/>
    <mergeCell ref="M27:N27"/>
    <mergeCell ref="L6:L8"/>
    <mergeCell ref="M6:M8"/>
    <mergeCell ref="N6:N8"/>
  </mergeCells>
  <pageMargins left="0.7" right="0.7" top="0.75" bottom="0.75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unka8"/>
  <dimension ref="A1:U49"/>
  <sheetViews>
    <sheetView zoomScale="97" zoomScaleNormal="97" workbookViewId="0">
      <selection activeCell="C7" sqref="C7:C22"/>
    </sheetView>
  </sheetViews>
  <sheetFormatPr defaultColWidth="9.140625" defaultRowHeight="18.399999999999999" customHeight="1" x14ac:dyDescent="0.25"/>
  <cols>
    <col min="1" max="1" width="33" customWidth="1"/>
    <col min="2" max="2" width="13.140625" customWidth="1"/>
    <col min="3" max="3" width="11.7109375" customWidth="1"/>
    <col min="4" max="5" width="12.140625" customWidth="1"/>
    <col min="6" max="6" width="11.85546875" customWidth="1"/>
    <col min="7" max="7" width="12.28515625" customWidth="1"/>
    <col min="8" max="8" width="14.140625" customWidth="1"/>
    <col min="12" max="12" width="9.140625" style="82"/>
    <col min="13" max="13" width="13.85546875" style="82" customWidth="1"/>
    <col min="14" max="14" width="27.5703125" style="82" customWidth="1"/>
    <col min="15" max="17" width="7.7109375" style="82" customWidth="1"/>
    <col min="18" max="18" width="11.85546875" style="82" customWidth="1"/>
    <col min="19" max="19" width="12" style="82" customWidth="1"/>
    <col min="20" max="20" width="15" style="82" customWidth="1"/>
    <col min="21" max="21" width="18.5703125" style="82" customWidth="1"/>
  </cols>
  <sheetData>
    <row r="1" spans="1:21" ht="18.399999999999999" customHeight="1" thickBot="1" x14ac:dyDescent="0.3">
      <c r="A1" s="733" t="s">
        <v>154</v>
      </c>
      <c r="B1" s="733"/>
      <c r="C1" s="733"/>
      <c r="D1" s="733"/>
      <c r="E1" s="733"/>
      <c r="F1" s="733"/>
      <c r="G1" s="733"/>
      <c r="H1" s="733"/>
      <c r="L1" s="438" t="s">
        <v>319</v>
      </c>
      <c r="M1" s="690"/>
      <c r="N1" s="695" t="s">
        <v>350</v>
      </c>
      <c r="O1" s="742"/>
      <c r="P1" s="742"/>
      <c r="Q1" s="742"/>
      <c r="R1" s="742"/>
      <c r="S1" s="742"/>
      <c r="T1" s="743"/>
      <c r="U1" s="219" t="s">
        <v>355</v>
      </c>
    </row>
    <row r="2" spans="1:21" ht="18.399999999999999" customHeight="1" thickBot="1" x14ac:dyDescent="0.3">
      <c r="A2" s="733"/>
      <c r="B2" s="733"/>
      <c r="C2" s="733"/>
      <c r="D2" s="733"/>
      <c r="E2" s="733"/>
      <c r="F2" s="733"/>
      <c r="G2" s="733"/>
      <c r="H2" s="733"/>
      <c r="L2" s="691"/>
      <c r="M2" s="692"/>
      <c r="N2" s="744"/>
      <c r="O2" s="745"/>
      <c r="P2" s="745"/>
      <c r="Q2" s="745"/>
      <c r="R2" s="745"/>
      <c r="S2" s="745"/>
      <c r="T2" s="746"/>
      <c r="U2" s="220" t="s">
        <v>320</v>
      </c>
    </row>
    <row r="3" spans="1:21" ht="18.399999999999999" customHeight="1" x14ac:dyDescent="0.25">
      <c r="A3" s="734" t="s">
        <v>3</v>
      </c>
      <c r="B3" s="750" t="s">
        <v>111</v>
      </c>
      <c r="C3" s="751"/>
      <c r="D3" s="751"/>
      <c r="E3" s="752"/>
      <c r="F3" s="760" t="s">
        <v>19</v>
      </c>
      <c r="G3" s="756" t="s">
        <v>112</v>
      </c>
      <c r="H3" s="758" t="s">
        <v>113</v>
      </c>
      <c r="L3" s="691"/>
      <c r="M3" s="692"/>
      <c r="N3" s="744"/>
      <c r="O3" s="745"/>
      <c r="P3" s="745"/>
      <c r="Q3" s="745"/>
      <c r="R3" s="745"/>
      <c r="S3" s="745"/>
      <c r="T3" s="746"/>
      <c r="U3" s="220" t="s">
        <v>706</v>
      </c>
    </row>
    <row r="4" spans="1:21" ht="18.399999999999999" customHeight="1" thickBot="1" x14ac:dyDescent="0.3">
      <c r="A4" s="735"/>
      <c r="B4" s="753"/>
      <c r="C4" s="754"/>
      <c r="D4" s="754"/>
      <c r="E4" s="755"/>
      <c r="F4" s="761"/>
      <c r="G4" s="757"/>
      <c r="H4" s="759"/>
      <c r="L4" s="693"/>
      <c r="M4" s="694"/>
      <c r="N4" s="747"/>
      <c r="O4" s="748"/>
      <c r="P4" s="748"/>
      <c r="Q4" s="748"/>
      <c r="R4" s="748"/>
      <c r="S4" s="748"/>
      <c r="T4" s="749"/>
      <c r="U4" s="221" t="s">
        <v>324</v>
      </c>
    </row>
    <row r="5" spans="1:21" ht="17.100000000000001" customHeight="1" thickBot="1" x14ac:dyDescent="0.3">
      <c r="A5" s="295"/>
      <c r="B5" s="296" t="s">
        <v>33</v>
      </c>
      <c r="C5" s="296" t="s">
        <v>34</v>
      </c>
      <c r="D5" s="297" t="s">
        <v>114</v>
      </c>
      <c r="E5" s="298" t="s">
        <v>115</v>
      </c>
      <c r="F5" s="762"/>
      <c r="G5" s="299"/>
      <c r="H5" s="299" t="s">
        <v>45</v>
      </c>
    </row>
    <row r="6" spans="1:21" ht="17.100000000000001" customHeight="1" x14ac:dyDescent="0.25">
      <c r="A6" s="1" t="str">
        <f>Minták!W5</f>
        <v>1/IV-Nhhlz</v>
      </c>
      <c r="B6" s="2">
        <v>0</v>
      </c>
      <c r="C6" s="4">
        <v>0.1</v>
      </c>
      <c r="D6" s="223">
        <f>C6-$B$6</f>
        <v>0.1</v>
      </c>
      <c r="E6" s="2">
        <v>8</v>
      </c>
      <c r="F6" s="4">
        <v>1</v>
      </c>
      <c r="G6" s="300">
        <f>8/E6</f>
        <v>1</v>
      </c>
      <c r="H6" s="267">
        <f t="shared" ref="H6:H22" si="0">(D6*$G$6)*F6</f>
        <v>0.1</v>
      </c>
      <c r="I6" t="str">
        <f>IFERROR(IF(H6&lt;VALUE(B$29),CONCATENATE("&lt;",B$29),IF(H6&lt;10,FIXED(H6,2),IF(H6&lt;100,FIXED(H6,1),IF(H6&lt;1000,FIXED(H6,0),FIXED(H6,-1))))),"-")</f>
        <v>&lt;0,30</v>
      </c>
      <c r="L6" s="704" t="s">
        <v>25</v>
      </c>
      <c r="M6" s="704" t="s">
        <v>26</v>
      </c>
      <c r="N6" s="707" t="s">
        <v>27</v>
      </c>
      <c r="O6" s="736" t="s">
        <v>46</v>
      </c>
      <c r="P6" s="737"/>
      <c r="Q6" s="738"/>
      <c r="R6" s="704" t="s">
        <v>117</v>
      </c>
      <c r="S6" s="688" t="s">
        <v>251</v>
      </c>
      <c r="T6" s="222" t="s">
        <v>113</v>
      </c>
      <c r="U6" s="704" t="s">
        <v>32</v>
      </c>
    </row>
    <row r="7" spans="1:21" ht="17.100000000000001" customHeight="1" x14ac:dyDescent="0.25">
      <c r="A7" s="1" t="str">
        <f>Minták!W6</f>
        <v>2/IV-ADATOT BEÍRNI</v>
      </c>
      <c r="B7" s="1"/>
      <c r="C7" s="4">
        <f>C6+0.1</f>
        <v>0.2</v>
      </c>
      <c r="D7" s="223">
        <f t="shared" ref="D7:D22" si="1">C7-$B$6</f>
        <v>0.2</v>
      </c>
      <c r="E7" s="1"/>
      <c r="F7" s="4">
        <v>1</v>
      </c>
      <c r="G7" s="1"/>
      <c r="H7" s="267">
        <f t="shared" si="0"/>
        <v>0.2</v>
      </c>
      <c r="I7" t="str">
        <f t="shared" ref="I7:I21" si="2">IFERROR(IF(H7&lt;VALUE(B$29),CONCATENATE("&lt;",B$29),IF(H7&lt;10,FIXED(H7,2),IF(H7&lt;100,FIXED(H7,1),IF(H7&lt;1000,FIXED(H7,0),FIXED(H7,-1))))),"-")</f>
        <v>&lt;0,30</v>
      </c>
      <c r="L7" s="705"/>
      <c r="M7" s="705"/>
      <c r="N7" s="708"/>
      <c r="O7" s="739"/>
      <c r="P7" s="740"/>
      <c r="Q7" s="741"/>
      <c r="R7" s="705"/>
      <c r="S7" s="689"/>
      <c r="T7" s="226" t="s">
        <v>118</v>
      </c>
      <c r="U7" s="705"/>
    </row>
    <row r="8" spans="1:21" ht="17.100000000000001" customHeight="1" thickBot="1" x14ac:dyDescent="0.3">
      <c r="A8" s="1" t="str">
        <f>Minták!W7</f>
        <v>3/KIV-ADATOT BEÍRNI</v>
      </c>
      <c r="B8" s="1"/>
      <c r="C8" s="4">
        <f t="shared" ref="C8:C22" si="3">C7+0.1</f>
        <v>0.30000000000000004</v>
      </c>
      <c r="D8" s="223">
        <f t="shared" si="1"/>
        <v>0.30000000000000004</v>
      </c>
      <c r="E8" s="1"/>
      <c r="F8" s="4">
        <v>1</v>
      </c>
      <c r="G8" s="1"/>
      <c r="H8" s="267">
        <f t="shared" si="0"/>
        <v>0.30000000000000004</v>
      </c>
      <c r="I8" t="str">
        <f t="shared" si="2"/>
        <v>0,30</v>
      </c>
      <c r="L8" s="706"/>
      <c r="M8" s="706"/>
      <c r="N8" s="709"/>
      <c r="O8" s="301" t="s">
        <v>33</v>
      </c>
      <c r="P8" s="302" t="s">
        <v>34</v>
      </c>
      <c r="Q8" s="303" t="s">
        <v>35</v>
      </c>
      <c r="R8" s="706"/>
      <c r="S8" s="716"/>
      <c r="T8" s="304" t="s">
        <v>119</v>
      </c>
      <c r="U8" s="706"/>
    </row>
    <row r="9" spans="1:21" ht="17.100000000000001" customHeight="1" x14ac:dyDescent="0.25">
      <c r="A9" s="1" t="str">
        <f>Minták!W8</f>
        <v>4/IV-Ebnxscqc</v>
      </c>
      <c r="B9" s="1"/>
      <c r="C9" s="4">
        <f t="shared" si="3"/>
        <v>0.4</v>
      </c>
      <c r="D9" s="223">
        <f t="shared" si="1"/>
        <v>0.4</v>
      </c>
      <c r="E9" s="1"/>
      <c r="F9" s="4">
        <v>1</v>
      </c>
      <c r="G9" s="1"/>
      <c r="H9" s="267">
        <f t="shared" si="0"/>
        <v>0.4</v>
      </c>
      <c r="I9" t="str">
        <f t="shared" si="2"/>
        <v>0,40</v>
      </c>
      <c r="L9" s="230" t="str">
        <f>IF(Minták!D5="","",Minták!D5)</f>
        <v>1/IV</v>
      </c>
      <c r="M9" s="263" t="str">
        <f>A28</f>
        <v>-</v>
      </c>
      <c r="N9" s="232" t="str">
        <f>IF(Minták!H5="","",Minták!H5)</f>
        <v>Nhhlz</v>
      </c>
      <c r="O9" s="264">
        <f>B6</f>
        <v>0</v>
      </c>
      <c r="P9" s="234">
        <f>IF($A6="-","",C6)</f>
        <v>0.1</v>
      </c>
      <c r="Q9" s="234">
        <f t="shared" ref="Q9:Q10" si="4">IF($A6="-","",IFERROR(D6,"-"))</f>
        <v>0.1</v>
      </c>
      <c r="R9" s="234">
        <f t="shared" ref="R9:R25" si="5">IFERROR(IF($A6="-","",B$31/F6),"-")</f>
        <v>100</v>
      </c>
      <c r="S9" s="305">
        <f>G6</f>
        <v>1</v>
      </c>
      <c r="T9" s="234" t="str">
        <f t="shared" ref="T9:T24" si="6">I6</f>
        <v>&lt;0,30</v>
      </c>
      <c r="U9" s="236"/>
    </row>
    <row r="10" spans="1:21" ht="17.100000000000001" customHeight="1" x14ac:dyDescent="0.25">
      <c r="A10" s="1" t="str">
        <f>Minták!W9</f>
        <v>5/IV-Ubqpva</v>
      </c>
      <c r="B10" s="1"/>
      <c r="C10" s="4">
        <f t="shared" si="3"/>
        <v>0.5</v>
      </c>
      <c r="D10" s="223">
        <f t="shared" si="1"/>
        <v>0.5</v>
      </c>
      <c r="E10" s="1"/>
      <c r="F10" s="4">
        <v>1</v>
      </c>
      <c r="G10" s="1"/>
      <c r="H10" s="267">
        <f t="shared" si="0"/>
        <v>0.5</v>
      </c>
      <c r="I10" t="str">
        <f t="shared" si="2"/>
        <v>0,50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38"/>
      <c r="P10" s="238">
        <f t="shared" ref="P10" si="7">IF($A7="-","",C7)</f>
        <v>0.2</v>
      </c>
      <c r="Q10" s="238">
        <f t="shared" si="4"/>
        <v>0.2</v>
      </c>
      <c r="R10" s="238">
        <f t="shared" si="5"/>
        <v>100</v>
      </c>
      <c r="S10" s="273"/>
      <c r="T10" s="238" t="str">
        <f t="shared" si="6"/>
        <v>&lt;0,30</v>
      </c>
      <c r="U10" s="243"/>
    </row>
    <row r="11" spans="1:21" ht="17.100000000000001" customHeight="1" x14ac:dyDescent="0.25">
      <c r="A11" s="1" t="str">
        <f>Minták!W10</f>
        <v>6/IV-Eouypz</v>
      </c>
      <c r="B11" s="1"/>
      <c r="C11" s="4">
        <f t="shared" si="3"/>
        <v>0.6</v>
      </c>
      <c r="D11" s="223">
        <f t="shared" si="1"/>
        <v>0.6</v>
      </c>
      <c r="E11" s="1"/>
      <c r="F11" s="4">
        <v>1</v>
      </c>
      <c r="G11" s="1"/>
      <c r="H11" s="267">
        <f t="shared" si="0"/>
        <v>0.6</v>
      </c>
      <c r="I11" t="str">
        <f t="shared" si="2"/>
        <v>0,60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38"/>
      <c r="P11" s="238">
        <f t="shared" ref="P11:P25" si="8">IF($A8="-","",C8)</f>
        <v>0.30000000000000004</v>
      </c>
      <c r="Q11" s="238">
        <f t="shared" ref="Q11:Q25" si="9">IF($A8="-","",IFERROR(D8,"-"))</f>
        <v>0.30000000000000004</v>
      </c>
      <c r="R11" s="238">
        <f t="shared" si="5"/>
        <v>100</v>
      </c>
      <c r="S11" s="273" t="s">
        <v>47</v>
      </c>
      <c r="T11" s="238" t="str">
        <f t="shared" si="6"/>
        <v>0,30</v>
      </c>
      <c r="U11" s="243"/>
    </row>
    <row r="12" spans="1:21" ht="17.100000000000001" customHeight="1" x14ac:dyDescent="0.25">
      <c r="A12" s="1" t="str">
        <f>Minták!W11</f>
        <v>7/IV-Rkohqy</v>
      </c>
      <c r="B12" s="1"/>
      <c r="C12" s="4">
        <f t="shared" si="3"/>
        <v>0.7</v>
      </c>
      <c r="D12" s="223">
        <f t="shared" si="1"/>
        <v>0.7</v>
      </c>
      <c r="E12" s="1"/>
      <c r="F12" s="4">
        <v>1</v>
      </c>
      <c r="G12" s="1"/>
      <c r="H12" s="267">
        <f t="shared" si="0"/>
        <v>0.7</v>
      </c>
      <c r="I12" t="str">
        <f t="shared" si="2"/>
        <v>0,70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38"/>
      <c r="P12" s="238">
        <f t="shared" si="8"/>
        <v>0.4</v>
      </c>
      <c r="Q12" s="238">
        <f t="shared" si="9"/>
        <v>0.4</v>
      </c>
      <c r="R12" s="238">
        <f t="shared" si="5"/>
        <v>100</v>
      </c>
      <c r="S12" s="273">
        <f>E6</f>
        <v>8</v>
      </c>
      <c r="T12" s="238" t="str">
        <f t="shared" si="6"/>
        <v>0,40</v>
      </c>
      <c r="U12" s="243"/>
    </row>
    <row r="13" spans="1:21" ht="17.100000000000001" customHeight="1" x14ac:dyDescent="0.25">
      <c r="A13" s="1" t="str">
        <f>Minták!W12</f>
        <v>8/IV-Vxhhmc</v>
      </c>
      <c r="B13" s="1"/>
      <c r="C13" s="4">
        <f t="shared" si="3"/>
        <v>0.79999999999999993</v>
      </c>
      <c r="D13" s="223">
        <f t="shared" si="1"/>
        <v>0.79999999999999993</v>
      </c>
      <c r="E13" s="1"/>
      <c r="F13" s="4">
        <v>1</v>
      </c>
      <c r="G13" s="1"/>
      <c r="H13" s="267">
        <f t="shared" si="0"/>
        <v>0.79999999999999993</v>
      </c>
      <c r="I13" t="str">
        <f t="shared" si="2"/>
        <v>0,80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38"/>
      <c r="P13" s="238">
        <f t="shared" si="8"/>
        <v>0.5</v>
      </c>
      <c r="Q13" s="238">
        <f t="shared" si="9"/>
        <v>0.5</v>
      </c>
      <c r="R13" s="238">
        <f t="shared" si="5"/>
        <v>100</v>
      </c>
      <c r="S13" s="273"/>
      <c r="T13" s="238" t="str">
        <f t="shared" si="6"/>
        <v>0,50</v>
      </c>
      <c r="U13" s="243"/>
    </row>
    <row r="14" spans="1:21" ht="17.100000000000001" customHeight="1" x14ac:dyDescent="0.25">
      <c r="A14" s="1" t="str">
        <f>Minták!W13</f>
        <v>9/IV-Msdxtl</v>
      </c>
      <c r="B14" s="1"/>
      <c r="C14" s="4">
        <f t="shared" si="3"/>
        <v>0.89999999999999991</v>
      </c>
      <c r="D14" s="223">
        <f t="shared" si="1"/>
        <v>0.89999999999999991</v>
      </c>
      <c r="E14" s="1"/>
      <c r="F14" s="4">
        <v>1</v>
      </c>
      <c r="G14" s="1"/>
      <c r="H14" s="267">
        <f t="shared" si="0"/>
        <v>0.89999999999999991</v>
      </c>
      <c r="I14" t="str">
        <f t="shared" si="2"/>
        <v>0,90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38"/>
      <c r="P14" s="238">
        <f t="shared" si="8"/>
        <v>0.6</v>
      </c>
      <c r="Q14" s="238">
        <f t="shared" si="9"/>
        <v>0.6</v>
      </c>
      <c r="R14" s="238">
        <f t="shared" si="5"/>
        <v>100</v>
      </c>
      <c r="S14" s="273"/>
      <c r="T14" s="238" t="str">
        <f t="shared" si="6"/>
        <v>0,60</v>
      </c>
      <c r="U14" s="243"/>
    </row>
    <row r="15" spans="1:21" ht="17.100000000000001" customHeight="1" x14ac:dyDescent="0.25">
      <c r="A15" s="1" t="str">
        <f>Minták!W14</f>
        <v>10/IV-Qoldnt</v>
      </c>
      <c r="B15" s="1"/>
      <c r="C15" s="4">
        <f t="shared" si="3"/>
        <v>0.99999999999999989</v>
      </c>
      <c r="D15" s="223">
        <f>C15-$B$6</f>
        <v>0.99999999999999989</v>
      </c>
      <c r="E15" s="1"/>
      <c r="F15" s="4">
        <v>1</v>
      </c>
      <c r="G15" s="1"/>
      <c r="H15" s="267">
        <f t="shared" si="0"/>
        <v>0.99999999999999989</v>
      </c>
      <c r="I15" t="str">
        <f t="shared" si="2"/>
        <v>1,00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38"/>
      <c r="P15" s="238">
        <f t="shared" si="8"/>
        <v>0.7</v>
      </c>
      <c r="Q15" s="238">
        <f t="shared" si="9"/>
        <v>0.7</v>
      </c>
      <c r="R15" s="238">
        <f t="shared" si="5"/>
        <v>100</v>
      </c>
      <c r="S15" s="273"/>
      <c r="T15" s="238" t="str">
        <f t="shared" si="6"/>
        <v>0,70</v>
      </c>
      <c r="U15" s="243"/>
    </row>
    <row r="16" spans="1:21" ht="17.100000000000001" customHeight="1" x14ac:dyDescent="0.25">
      <c r="A16" s="1" t="str">
        <f>Minták!W15</f>
        <v>11/IV-Qnvptf</v>
      </c>
      <c r="B16" s="1"/>
      <c r="C16" s="4">
        <f t="shared" si="3"/>
        <v>1.0999999999999999</v>
      </c>
      <c r="D16" s="223">
        <f>C16-$B$6</f>
        <v>1.0999999999999999</v>
      </c>
      <c r="E16" s="1"/>
      <c r="F16" s="4">
        <v>1</v>
      </c>
      <c r="G16" s="1"/>
      <c r="H16" s="267">
        <f t="shared" si="0"/>
        <v>1.0999999999999999</v>
      </c>
      <c r="I16" t="str">
        <f t="shared" si="2"/>
        <v>1,10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38"/>
      <c r="P16" s="238">
        <f t="shared" si="8"/>
        <v>0.79999999999999993</v>
      </c>
      <c r="Q16" s="238">
        <f t="shared" si="9"/>
        <v>0.79999999999999993</v>
      </c>
      <c r="R16" s="238">
        <f t="shared" si="5"/>
        <v>100</v>
      </c>
      <c r="S16" s="273"/>
      <c r="T16" s="238" t="str">
        <f t="shared" si="6"/>
        <v>0,80</v>
      </c>
      <c r="U16" s="270"/>
    </row>
    <row r="17" spans="1:21" ht="17.100000000000001" customHeight="1" x14ac:dyDescent="0.25">
      <c r="A17" s="1" t="str">
        <f>Minták!W16</f>
        <v>12/IV-Lebdoq</v>
      </c>
      <c r="B17" s="1"/>
      <c r="C17" s="4">
        <f t="shared" si="3"/>
        <v>1.2</v>
      </c>
      <c r="D17" s="223">
        <f>C17-$B$6</f>
        <v>1.2</v>
      </c>
      <c r="E17" s="1"/>
      <c r="F17" s="4">
        <v>1</v>
      </c>
      <c r="G17" s="1"/>
      <c r="H17" s="267">
        <f t="shared" si="0"/>
        <v>1.2</v>
      </c>
      <c r="I17" t="str">
        <f t="shared" si="2"/>
        <v>1,20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38"/>
      <c r="P17" s="238">
        <f t="shared" si="8"/>
        <v>0.89999999999999991</v>
      </c>
      <c r="Q17" s="238">
        <f t="shared" si="9"/>
        <v>0.89999999999999991</v>
      </c>
      <c r="R17" s="238">
        <f t="shared" si="5"/>
        <v>100</v>
      </c>
      <c r="S17" s="273"/>
      <c r="T17" s="238" t="str">
        <f t="shared" si="6"/>
        <v>0,90</v>
      </c>
      <c r="U17" s="270"/>
    </row>
    <row r="18" spans="1:21" ht="17.100000000000001" customHeight="1" x14ac:dyDescent="0.25">
      <c r="A18" s="1" t="str">
        <f>Minták!W17</f>
        <v>13/IV-Askfua</v>
      </c>
      <c r="B18" s="1"/>
      <c r="C18" s="4">
        <f t="shared" si="3"/>
        <v>1.3</v>
      </c>
      <c r="D18" s="223">
        <f>C18-$B$6</f>
        <v>1.3</v>
      </c>
      <c r="E18" s="1"/>
      <c r="F18" s="4">
        <v>1</v>
      </c>
      <c r="G18" s="1"/>
      <c r="H18" s="267">
        <f t="shared" si="0"/>
        <v>1.3</v>
      </c>
      <c r="I18" t="str">
        <f t="shared" si="2"/>
        <v>1,30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38"/>
      <c r="P18" s="238">
        <f t="shared" si="8"/>
        <v>0.99999999999999989</v>
      </c>
      <c r="Q18" s="238">
        <f t="shared" si="9"/>
        <v>0.99999999999999989</v>
      </c>
      <c r="R18" s="238">
        <f t="shared" si="5"/>
        <v>100</v>
      </c>
      <c r="S18" s="273"/>
      <c r="T18" s="238" t="str">
        <f t="shared" si="6"/>
        <v>1,00</v>
      </c>
      <c r="U18" s="243"/>
    </row>
    <row r="19" spans="1:21" ht="17.100000000000001" customHeight="1" x14ac:dyDescent="0.25">
      <c r="A19" s="1" t="str">
        <f>Minták!W18</f>
        <v>14/IV-Mcsjny</v>
      </c>
      <c r="B19" s="1"/>
      <c r="C19" s="4">
        <f t="shared" si="3"/>
        <v>1.4000000000000001</v>
      </c>
      <c r="D19" s="223">
        <f t="shared" si="1"/>
        <v>1.4000000000000001</v>
      </c>
      <c r="E19" s="1"/>
      <c r="F19" s="4">
        <v>1</v>
      </c>
      <c r="G19" s="1"/>
      <c r="H19" s="267">
        <f t="shared" si="0"/>
        <v>1.4000000000000001</v>
      </c>
      <c r="I19" t="str">
        <f t="shared" si="2"/>
        <v>1,40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38"/>
      <c r="P19" s="238">
        <f t="shared" si="8"/>
        <v>1.0999999999999999</v>
      </c>
      <c r="Q19" s="238">
        <f t="shared" si="9"/>
        <v>1.0999999999999999</v>
      </c>
      <c r="R19" s="238">
        <f t="shared" si="5"/>
        <v>100</v>
      </c>
      <c r="S19" s="273"/>
      <c r="T19" s="238" t="str">
        <f t="shared" si="6"/>
        <v>1,10</v>
      </c>
      <c r="U19" s="243"/>
    </row>
    <row r="20" spans="1:21" ht="17.100000000000001" customHeight="1" x14ac:dyDescent="0.25">
      <c r="A20" s="1" t="str">
        <f>Minták!W19</f>
        <v>15/IV-Rskdom</v>
      </c>
      <c r="B20" s="1"/>
      <c r="C20" s="4">
        <f t="shared" si="3"/>
        <v>1.5000000000000002</v>
      </c>
      <c r="D20" s="223">
        <f t="shared" si="1"/>
        <v>1.5000000000000002</v>
      </c>
      <c r="E20" s="1"/>
      <c r="F20" s="4">
        <v>1</v>
      </c>
      <c r="G20" s="1"/>
      <c r="H20" s="267">
        <f t="shared" si="0"/>
        <v>1.5000000000000002</v>
      </c>
      <c r="I20" t="str">
        <f t="shared" si="2"/>
        <v>1,50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38"/>
      <c r="P20" s="238">
        <f t="shared" si="8"/>
        <v>1.2</v>
      </c>
      <c r="Q20" s="238">
        <f t="shared" si="9"/>
        <v>1.2</v>
      </c>
      <c r="R20" s="238">
        <f t="shared" si="5"/>
        <v>100</v>
      </c>
      <c r="S20" s="273"/>
      <c r="T20" s="238" t="str">
        <f t="shared" si="6"/>
        <v>1,20</v>
      </c>
      <c r="U20" s="270"/>
    </row>
    <row r="21" spans="1:21" ht="17.100000000000001" customHeight="1" x14ac:dyDescent="0.25">
      <c r="A21" s="1" t="str">
        <f>Minták!W20</f>
        <v>16/IV-Jyhjzbmb</v>
      </c>
      <c r="B21" s="1"/>
      <c r="C21" s="4">
        <f t="shared" si="3"/>
        <v>1.6000000000000003</v>
      </c>
      <c r="D21" s="223">
        <f t="shared" si="1"/>
        <v>1.6000000000000003</v>
      </c>
      <c r="E21" s="1"/>
      <c r="F21" s="4">
        <v>1</v>
      </c>
      <c r="G21" s="1"/>
      <c r="H21" s="267">
        <f t="shared" si="0"/>
        <v>1.6000000000000003</v>
      </c>
      <c r="I21" t="str">
        <f t="shared" si="2"/>
        <v>1,60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38"/>
      <c r="P21" s="238">
        <f t="shared" si="8"/>
        <v>1.3</v>
      </c>
      <c r="Q21" s="238">
        <f t="shared" si="9"/>
        <v>1.3</v>
      </c>
      <c r="R21" s="238">
        <f t="shared" si="5"/>
        <v>100</v>
      </c>
      <c r="S21" s="273"/>
      <c r="T21" s="238" t="str">
        <f t="shared" si="6"/>
        <v>1,30</v>
      </c>
      <c r="U21" s="270"/>
    </row>
    <row r="22" spans="1:21" ht="17.100000000000001" customHeight="1" x14ac:dyDescent="0.25">
      <c r="A22" s="18" t="s">
        <v>121</v>
      </c>
      <c r="B22" s="1"/>
      <c r="C22" s="4">
        <f t="shared" si="3"/>
        <v>1.7000000000000004</v>
      </c>
      <c r="D22" s="223">
        <f t="shared" si="1"/>
        <v>1.7000000000000004</v>
      </c>
      <c r="E22" s="1"/>
      <c r="F22" s="4">
        <v>1</v>
      </c>
      <c r="G22" s="1"/>
      <c r="H22" s="267">
        <f t="shared" si="0"/>
        <v>1.7000000000000004</v>
      </c>
      <c r="I22" s="52">
        <f>ROUND(((H22*100)/VLOOKUP(A22,$D$28:$F$30,3,FALSE)),1)</f>
        <v>92.4</v>
      </c>
      <c r="J22" s="52"/>
      <c r="K22" s="52"/>
      <c r="L22" s="237" t="str">
        <f>IF(Minták!D18="","",Minták!D18)</f>
        <v>14/IV</v>
      </c>
      <c r="M22" s="244"/>
      <c r="N22" s="239" t="str">
        <f>IF(Minták!H18="","",Minták!H18)</f>
        <v>Mcsjny</v>
      </c>
      <c r="O22" s="238"/>
      <c r="P22" s="238">
        <f t="shared" si="8"/>
        <v>1.4000000000000001</v>
      </c>
      <c r="Q22" s="238">
        <f t="shared" si="9"/>
        <v>1.4000000000000001</v>
      </c>
      <c r="R22" s="238">
        <f t="shared" si="5"/>
        <v>100</v>
      </c>
      <c r="S22" s="273"/>
      <c r="T22" s="238" t="str">
        <f t="shared" si="6"/>
        <v>1,40</v>
      </c>
      <c r="U22" s="243"/>
    </row>
    <row r="23" spans="1:21" ht="17.100000000000001" customHeight="1" x14ac:dyDescent="0.25">
      <c r="L23" s="237" t="str">
        <f>IF(Minták!D19="","",Minták!D19)</f>
        <v>15/IV</v>
      </c>
      <c r="M23" s="244"/>
      <c r="N23" s="239" t="str">
        <f>IF(Minták!H19="","",Minták!H19)</f>
        <v>Rskdom</v>
      </c>
      <c r="O23" s="238"/>
      <c r="P23" s="238">
        <f t="shared" si="8"/>
        <v>1.5000000000000002</v>
      </c>
      <c r="Q23" s="238">
        <f t="shared" si="9"/>
        <v>1.5000000000000002</v>
      </c>
      <c r="R23" s="238">
        <f t="shared" si="5"/>
        <v>100</v>
      </c>
      <c r="S23" s="273"/>
      <c r="T23" s="238" t="str">
        <f t="shared" si="6"/>
        <v>1,50</v>
      </c>
      <c r="U23" s="243"/>
    </row>
    <row r="24" spans="1:21" ht="17.100000000000001" customHeight="1" x14ac:dyDescent="0.25">
      <c r="L24" s="237" t="str">
        <f>IF(Minták!D20="","",Minták!D20)</f>
        <v>16/IV</v>
      </c>
      <c r="M24" s="249"/>
      <c r="N24" s="239" t="str">
        <f>IF(Minták!H20="","",Minták!H20)</f>
        <v>Jyhjzbmb</v>
      </c>
      <c r="O24" s="238"/>
      <c r="P24" s="238">
        <f t="shared" si="8"/>
        <v>1.6000000000000003</v>
      </c>
      <c r="Q24" s="238">
        <f t="shared" si="9"/>
        <v>1.6000000000000003</v>
      </c>
      <c r="R24" s="238">
        <f t="shared" si="5"/>
        <v>100</v>
      </c>
      <c r="S24" s="273"/>
      <c r="T24" s="238" t="str">
        <f t="shared" si="6"/>
        <v>1,60</v>
      </c>
      <c r="U24" s="272"/>
    </row>
    <row r="25" spans="1:21" ht="17.100000000000001" customHeight="1" x14ac:dyDescent="0.25">
      <c r="L25" s="253"/>
      <c r="M25" s="249"/>
      <c r="N25" s="273" t="str">
        <f>A22</f>
        <v>QC1 (1,84)</v>
      </c>
      <c r="O25" s="238"/>
      <c r="P25" s="238">
        <f t="shared" si="8"/>
        <v>1.7000000000000004</v>
      </c>
      <c r="Q25" s="238">
        <f t="shared" si="9"/>
        <v>1.7000000000000004</v>
      </c>
      <c r="R25" s="238">
        <f t="shared" si="5"/>
        <v>100</v>
      </c>
      <c r="S25" s="273"/>
      <c r="T25" s="265">
        <f>H22</f>
        <v>1.7000000000000004</v>
      </c>
      <c r="U25" s="272" t="str">
        <f>CONCATENATE(ROUND(I22,1),"%")</f>
        <v>92,4%</v>
      </c>
    </row>
    <row r="26" spans="1:21" ht="17.100000000000001" customHeight="1" thickBot="1" x14ac:dyDescent="0.3">
      <c r="L26" s="254"/>
      <c r="M26" s="255"/>
      <c r="N26" s="274"/>
      <c r="O26" s="258"/>
      <c r="P26" s="258"/>
      <c r="Q26" s="258"/>
      <c r="R26" s="258"/>
      <c r="S26" s="274"/>
      <c r="T26" s="258"/>
      <c r="U26" s="290"/>
    </row>
    <row r="27" spans="1:21" ht="17.100000000000001" customHeight="1" x14ac:dyDescent="0.25">
      <c r="A27" t="s">
        <v>24</v>
      </c>
      <c r="D27" t="s">
        <v>85</v>
      </c>
      <c r="F27" t="s">
        <v>87</v>
      </c>
    </row>
    <row r="28" spans="1:21" ht="17.100000000000001" customHeight="1" x14ac:dyDescent="0.25">
      <c r="A28" s="9" t="s">
        <v>44</v>
      </c>
      <c r="D28" s="1" t="str">
        <f>Minták!DW13</f>
        <v>QC1 (1,84)</v>
      </c>
      <c r="F28" s="1">
        <f>Minták!DX13</f>
        <v>1.84</v>
      </c>
      <c r="R28" s="15" t="s">
        <v>38</v>
      </c>
    </row>
    <row r="29" spans="1:21" ht="17.100000000000001" customHeight="1" x14ac:dyDescent="0.25">
      <c r="A29" t="s">
        <v>54</v>
      </c>
      <c r="B29" s="260" t="str">
        <f>Minták!DU13</f>
        <v>0,30</v>
      </c>
      <c r="D29" s="1" t="str">
        <f>Minták!DY13</f>
        <v>-</v>
      </c>
      <c r="F29" s="1" t="str">
        <f>Minták!DZ13</f>
        <v>-</v>
      </c>
    </row>
    <row r="30" spans="1:21" ht="17.100000000000001" customHeight="1" x14ac:dyDescent="0.25">
      <c r="A30" t="s">
        <v>55</v>
      </c>
      <c r="B30" s="1" t="str">
        <f>Minták!DV13</f>
        <v>képlet</v>
      </c>
      <c r="D30" s="1" t="str">
        <f>Minták!EA13</f>
        <v>-</v>
      </c>
      <c r="F30" s="1" t="str">
        <f>Minták!EB13</f>
        <v>-</v>
      </c>
    </row>
    <row r="31" spans="1:21" ht="17.100000000000001" customHeight="1" x14ac:dyDescent="0.25">
      <c r="A31" t="s">
        <v>135</v>
      </c>
      <c r="B31" s="1">
        <f>Minták!DT13</f>
        <v>100</v>
      </c>
    </row>
    <row r="32" spans="1:2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  <row r="39" ht="17.100000000000001" customHeight="1" x14ac:dyDescent="0.25"/>
    <row r="40" ht="17.100000000000001" customHeight="1" x14ac:dyDescent="0.25"/>
    <row r="41" ht="17.100000000000001" customHeight="1" x14ac:dyDescent="0.25"/>
    <row r="42" ht="17.100000000000001" customHeight="1" x14ac:dyDescent="0.25"/>
    <row r="43" ht="17.100000000000001" customHeight="1" x14ac:dyDescent="0.25"/>
    <row r="44" ht="17.100000000000001" customHeight="1" x14ac:dyDescent="0.25"/>
    <row r="45" ht="17.100000000000001" customHeight="1" x14ac:dyDescent="0.25"/>
    <row r="46" ht="17.100000000000001" customHeight="1" x14ac:dyDescent="0.25"/>
    <row r="47" ht="17.100000000000001" customHeight="1" x14ac:dyDescent="0.25"/>
    <row r="48" ht="17.100000000000001" customHeight="1" x14ac:dyDescent="0.25"/>
    <row r="49" ht="17.100000000000001" customHeight="1" x14ac:dyDescent="0.25"/>
  </sheetData>
  <sheetProtection algorithmName="SHA-512" hashValue="paZaTX2Osgkl/r7JhDtbOhu6Ld+66ZP7KlIBfeJf58znirJISzHbGHvxx8saIlOFgpg8mdgTf9rkdeEs3aiVjA==" saltValue="PMiLt+qYPra9B8llH7hDpA==" spinCount="100000" sheet="1" objects="1" scenarios="1"/>
  <mergeCells count="15">
    <mergeCell ref="U6:U8"/>
    <mergeCell ref="A1:H2"/>
    <mergeCell ref="A3:A4"/>
    <mergeCell ref="L1:M4"/>
    <mergeCell ref="L6:L8"/>
    <mergeCell ref="M6:M8"/>
    <mergeCell ref="N6:N8"/>
    <mergeCell ref="O6:Q7"/>
    <mergeCell ref="R6:R8"/>
    <mergeCell ref="N1:T4"/>
    <mergeCell ref="S6:S8"/>
    <mergeCell ref="B3:E4"/>
    <mergeCell ref="G3:G4"/>
    <mergeCell ref="H3:H4"/>
    <mergeCell ref="F3:F5"/>
  </mergeCells>
  <pageMargins left="0.7" right="0.7" top="0.75" bottom="0.75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unka9"/>
  <dimension ref="A1:U56"/>
  <sheetViews>
    <sheetView topLeftCell="A5" zoomScaleNormal="100" workbookViewId="0">
      <selection activeCell="C22" sqref="C22"/>
    </sheetView>
  </sheetViews>
  <sheetFormatPr defaultColWidth="9.140625" defaultRowHeight="18.399999999999999" customHeight="1" x14ac:dyDescent="0.25"/>
  <cols>
    <col min="1" max="1" width="33" customWidth="1"/>
    <col min="2" max="2" width="13.140625" customWidth="1"/>
    <col min="3" max="3" width="11.7109375" customWidth="1"/>
    <col min="4" max="5" width="12.140625" customWidth="1"/>
    <col min="6" max="6" width="11.85546875" customWidth="1"/>
    <col min="7" max="7" width="12.28515625" customWidth="1"/>
    <col min="8" max="8" width="14.140625" customWidth="1"/>
    <col min="12" max="12" width="9.140625" style="82"/>
    <col min="13" max="13" width="13.85546875" style="82" customWidth="1"/>
    <col min="14" max="14" width="27.5703125" style="82" customWidth="1"/>
    <col min="15" max="17" width="7.7109375" style="82" customWidth="1"/>
    <col min="18" max="18" width="11.85546875" style="82" customWidth="1"/>
    <col min="19" max="19" width="12" style="82" customWidth="1"/>
    <col min="20" max="20" width="15" style="82" customWidth="1"/>
    <col min="21" max="21" width="18.5703125" style="82" customWidth="1"/>
  </cols>
  <sheetData>
    <row r="1" spans="1:21" ht="18.399999999999999" customHeight="1" thickBot="1" x14ac:dyDescent="0.3">
      <c r="A1" s="733" t="s">
        <v>155</v>
      </c>
      <c r="B1" s="733"/>
      <c r="C1" s="733"/>
      <c r="D1" s="733"/>
      <c r="E1" s="733"/>
      <c r="F1" s="733"/>
      <c r="G1" s="733"/>
      <c r="H1" s="733"/>
      <c r="L1" s="438" t="s">
        <v>319</v>
      </c>
      <c r="M1" s="690"/>
      <c r="N1" s="695" t="s">
        <v>352</v>
      </c>
      <c r="O1" s="742"/>
      <c r="P1" s="742"/>
      <c r="Q1" s="742"/>
      <c r="R1" s="742"/>
      <c r="S1" s="742"/>
      <c r="T1" s="743"/>
      <c r="U1" s="219" t="s">
        <v>341</v>
      </c>
    </row>
    <row r="2" spans="1:21" ht="18.399999999999999" customHeight="1" thickBot="1" x14ac:dyDescent="0.3">
      <c r="A2" s="733"/>
      <c r="B2" s="733"/>
      <c r="C2" s="733"/>
      <c r="D2" s="733"/>
      <c r="E2" s="733"/>
      <c r="F2" s="733"/>
      <c r="G2" s="733"/>
      <c r="H2" s="733"/>
      <c r="L2" s="691"/>
      <c r="M2" s="692"/>
      <c r="N2" s="744"/>
      <c r="O2" s="745"/>
      <c r="P2" s="745"/>
      <c r="Q2" s="745"/>
      <c r="R2" s="745"/>
      <c r="S2" s="745"/>
      <c r="T2" s="746"/>
      <c r="U2" s="220" t="s">
        <v>320</v>
      </c>
    </row>
    <row r="3" spans="1:21" ht="18.399999999999999" customHeight="1" x14ac:dyDescent="0.25">
      <c r="A3" s="734" t="s">
        <v>3</v>
      </c>
      <c r="B3" s="750" t="s">
        <v>156</v>
      </c>
      <c r="C3" s="751"/>
      <c r="D3" s="751"/>
      <c r="E3" s="752"/>
      <c r="F3" s="760" t="s">
        <v>134</v>
      </c>
      <c r="G3" s="756" t="s">
        <v>157</v>
      </c>
      <c r="H3" s="760" t="s">
        <v>158</v>
      </c>
      <c r="L3" s="691"/>
      <c r="M3" s="692"/>
      <c r="N3" s="744"/>
      <c r="O3" s="745"/>
      <c r="P3" s="745"/>
      <c r="Q3" s="745"/>
      <c r="R3" s="745"/>
      <c r="S3" s="745"/>
      <c r="T3" s="746"/>
      <c r="U3" s="220" t="s">
        <v>706</v>
      </c>
    </row>
    <row r="4" spans="1:21" ht="18.399999999999999" customHeight="1" thickBot="1" x14ac:dyDescent="0.3">
      <c r="A4" s="735"/>
      <c r="B4" s="753"/>
      <c r="C4" s="754"/>
      <c r="D4" s="754"/>
      <c r="E4" s="755"/>
      <c r="F4" s="762"/>
      <c r="G4" s="757"/>
      <c r="H4" s="763"/>
      <c r="L4" s="693"/>
      <c r="M4" s="694"/>
      <c r="N4" s="747"/>
      <c r="O4" s="748"/>
      <c r="P4" s="748"/>
      <c r="Q4" s="748"/>
      <c r="R4" s="748"/>
      <c r="S4" s="748"/>
      <c r="T4" s="749"/>
      <c r="U4" s="221" t="s">
        <v>324</v>
      </c>
    </row>
    <row r="5" spans="1:21" ht="17.100000000000001" customHeight="1" thickBot="1" x14ac:dyDescent="0.3">
      <c r="A5" s="295"/>
      <c r="B5" s="306" t="s">
        <v>33</v>
      </c>
      <c r="C5" s="306" t="s">
        <v>34</v>
      </c>
      <c r="D5" s="298" t="s">
        <v>114</v>
      </c>
      <c r="E5" s="298" t="s">
        <v>115</v>
      </c>
      <c r="F5" s="299" t="s">
        <v>116</v>
      </c>
      <c r="G5" s="299"/>
      <c r="H5" s="299" t="s">
        <v>45</v>
      </c>
    </row>
    <row r="6" spans="1:21" ht="17.100000000000001" customHeight="1" x14ac:dyDescent="0.25">
      <c r="A6" s="1" t="str">
        <f>Minták!W5</f>
        <v>1/IV-Nhhlz</v>
      </c>
      <c r="B6" s="2">
        <v>0</v>
      </c>
      <c r="C6" s="4">
        <v>1</v>
      </c>
      <c r="D6" s="261">
        <f>C6-$B$6</f>
        <v>1</v>
      </c>
      <c r="E6" s="2">
        <v>10</v>
      </c>
      <c r="F6" s="4">
        <v>100</v>
      </c>
      <c r="G6" s="300">
        <f>10/(E6-B6)</f>
        <v>1</v>
      </c>
      <c r="H6" s="267">
        <f t="shared" ref="H6:H12" si="0">(D6*$G$6)*1000/F6</f>
        <v>10</v>
      </c>
      <c r="I6" t="str">
        <f>IFERROR(IF(H6&lt;VALUE(B$29),CONCATENATE("&lt;",B$29),IF(H6&lt;10,FIXED(H6,2),IF(H6&lt;100,FIXED(H6,1),IF(H6&lt;1000,FIXED(H6,0),FIXED(H6,-1))))),"-")</f>
        <v>10,0</v>
      </c>
      <c r="L6" s="704" t="s">
        <v>25</v>
      </c>
      <c r="M6" s="704" t="s">
        <v>26</v>
      </c>
      <c r="N6" s="707" t="s">
        <v>27</v>
      </c>
      <c r="O6" s="736" t="s">
        <v>46</v>
      </c>
      <c r="P6" s="737"/>
      <c r="Q6" s="738"/>
      <c r="R6" s="704" t="s">
        <v>117</v>
      </c>
      <c r="S6" s="688" t="s">
        <v>252</v>
      </c>
      <c r="T6" s="222" t="s">
        <v>253</v>
      </c>
      <c r="U6" s="704" t="s">
        <v>32</v>
      </c>
    </row>
    <row r="7" spans="1:21" ht="17.100000000000001" customHeight="1" x14ac:dyDescent="0.25">
      <c r="A7" s="1" t="str">
        <f>Minták!W6</f>
        <v>2/IV-ADATOT BEÍRNI</v>
      </c>
      <c r="B7" s="1"/>
      <c r="C7" s="4">
        <f t="shared" ref="C7:C22" si="1">C6+0.1</f>
        <v>1.1000000000000001</v>
      </c>
      <c r="D7" s="223">
        <f t="shared" ref="D7:D22" si="2">C7-$B$6</f>
        <v>1.1000000000000001</v>
      </c>
      <c r="E7" s="1"/>
      <c r="F7" s="4">
        <v>100</v>
      </c>
      <c r="G7" s="1"/>
      <c r="H7" s="267">
        <f t="shared" si="0"/>
        <v>11</v>
      </c>
      <c r="I7" t="str">
        <f t="shared" ref="I7:I21" si="3">IFERROR(IF(H7&lt;VALUE(B$29),CONCATENATE("&lt;",B$29),IF(H7&lt;10,FIXED(H7,2),IF(H7&lt;100,FIXED(H7,1),IF(H7&lt;1000,FIXED(H7,0),FIXED(H7,-1))))),"-")</f>
        <v>11,0</v>
      </c>
      <c r="L7" s="705"/>
      <c r="M7" s="705"/>
      <c r="N7" s="708"/>
      <c r="O7" s="739"/>
      <c r="P7" s="740"/>
      <c r="Q7" s="741"/>
      <c r="R7" s="705"/>
      <c r="S7" s="689"/>
      <c r="T7" s="226" t="s">
        <v>161</v>
      </c>
      <c r="U7" s="705"/>
    </row>
    <row r="8" spans="1:21" ht="17.100000000000001" customHeight="1" thickBot="1" x14ac:dyDescent="0.3">
      <c r="A8" s="1" t="str">
        <f>Minták!W7</f>
        <v>3/KIV-ADATOT BEÍRNI</v>
      </c>
      <c r="B8" s="1"/>
      <c r="C8" s="4">
        <f t="shared" si="1"/>
        <v>1.2000000000000002</v>
      </c>
      <c r="D8" s="223">
        <f t="shared" si="2"/>
        <v>1.2000000000000002</v>
      </c>
      <c r="E8" s="1"/>
      <c r="F8" s="4">
        <v>100</v>
      </c>
      <c r="G8" s="1"/>
      <c r="H8" s="267">
        <f t="shared" si="0"/>
        <v>12.000000000000002</v>
      </c>
      <c r="I8" t="str">
        <f t="shared" si="3"/>
        <v>12,0</v>
      </c>
      <c r="L8" s="706"/>
      <c r="M8" s="706"/>
      <c r="N8" s="709"/>
      <c r="O8" s="301" t="s">
        <v>33</v>
      </c>
      <c r="P8" s="302" t="s">
        <v>34</v>
      </c>
      <c r="Q8" s="303" t="s">
        <v>35</v>
      </c>
      <c r="R8" s="706"/>
      <c r="S8" s="716"/>
      <c r="T8" s="304" t="s">
        <v>162</v>
      </c>
      <c r="U8" s="706"/>
    </row>
    <row r="9" spans="1:21" ht="17.100000000000001" customHeight="1" x14ac:dyDescent="0.25">
      <c r="A9" s="1" t="str">
        <f>Minták!W8</f>
        <v>4/IV-Ebnxscqc</v>
      </c>
      <c r="B9" s="1"/>
      <c r="C9" s="4">
        <f t="shared" si="1"/>
        <v>1.3000000000000003</v>
      </c>
      <c r="D9" s="223">
        <f t="shared" si="2"/>
        <v>1.3000000000000003</v>
      </c>
      <c r="E9" s="1"/>
      <c r="F9" s="4">
        <v>100</v>
      </c>
      <c r="G9" s="1"/>
      <c r="H9" s="267">
        <f t="shared" si="0"/>
        <v>13.000000000000002</v>
      </c>
      <c r="I9" t="str">
        <f t="shared" si="3"/>
        <v>13,0</v>
      </c>
      <c r="L9" s="230" t="str">
        <f>IF(Minták!D5="","",Minták!D5)</f>
        <v>1/IV</v>
      </c>
      <c r="M9" s="263" t="str">
        <f>A28</f>
        <v>-</v>
      </c>
      <c r="N9" s="232" t="str">
        <f>IF(Minták!H5="","",Minták!H5)</f>
        <v>Nhhlz</v>
      </c>
      <c r="O9" s="264">
        <f>B6</f>
        <v>0</v>
      </c>
      <c r="P9" s="234">
        <f>IF($A6="-","",C6)</f>
        <v>1</v>
      </c>
      <c r="Q9" s="234">
        <f t="shared" ref="Q9:Q25" si="4">IF($A6="-","",IFERROR(D6,"-"))</f>
        <v>1</v>
      </c>
      <c r="R9" s="234">
        <f t="shared" ref="R9:R19" si="5">IFERROR(IF($A6="-","",F6),"-")</f>
        <v>100</v>
      </c>
      <c r="S9" s="305">
        <f>G6</f>
        <v>1</v>
      </c>
      <c r="T9" s="234" t="str">
        <f t="shared" ref="T9:T24" si="6">I6</f>
        <v>10,0</v>
      </c>
      <c r="U9" s="236"/>
    </row>
    <row r="10" spans="1:21" ht="17.100000000000001" customHeight="1" x14ac:dyDescent="0.25">
      <c r="A10" s="1" t="str">
        <f>Minták!W9</f>
        <v>5/IV-Ubqpva</v>
      </c>
      <c r="B10" s="1"/>
      <c r="C10" s="4">
        <f t="shared" si="1"/>
        <v>1.4000000000000004</v>
      </c>
      <c r="D10" s="223">
        <f t="shared" si="2"/>
        <v>1.4000000000000004</v>
      </c>
      <c r="E10" s="1"/>
      <c r="F10" s="4">
        <v>100</v>
      </c>
      <c r="G10" s="1"/>
      <c r="H10" s="267">
        <f t="shared" si="0"/>
        <v>14.000000000000005</v>
      </c>
      <c r="I10" t="str">
        <f t="shared" si="3"/>
        <v>14,0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38"/>
      <c r="P10" s="238">
        <f t="shared" ref="P10:P25" si="7">IF($A7="-","",C7)</f>
        <v>1.1000000000000001</v>
      </c>
      <c r="Q10" s="238">
        <f t="shared" si="4"/>
        <v>1.1000000000000001</v>
      </c>
      <c r="R10" s="238">
        <f t="shared" si="5"/>
        <v>100</v>
      </c>
      <c r="S10" s="273"/>
      <c r="T10" s="238" t="str">
        <f t="shared" si="6"/>
        <v>11,0</v>
      </c>
      <c r="U10" s="243"/>
    </row>
    <row r="11" spans="1:21" ht="17.100000000000001" customHeight="1" x14ac:dyDescent="0.25">
      <c r="A11" s="1" t="str">
        <f>Minták!W10</f>
        <v>6/IV-Eouypz</v>
      </c>
      <c r="B11" s="1"/>
      <c r="C11" s="4">
        <f t="shared" si="1"/>
        <v>1.5000000000000004</v>
      </c>
      <c r="D11" s="223">
        <f t="shared" si="2"/>
        <v>1.5000000000000004</v>
      </c>
      <c r="E11" s="1"/>
      <c r="F11" s="4">
        <v>100</v>
      </c>
      <c r="G11" s="1"/>
      <c r="H11" s="267">
        <f t="shared" si="0"/>
        <v>15.000000000000005</v>
      </c>
      <c r="I11" t="str">
        <f t="shared" si="3"/>
        <v>15,0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38"/>
      <c r="P11" s="238">
        <f t="shared" si="7"/>
        <v>1.2000000000000002</v>
      </c>
      <c r="Q11" s="238">
        <f t="shared" si="4"/>
        <v>1.2000000000000002</v>
      </c>
      <c r="R11" s="238">
        <f t="shared" si="5"/>
        <v>100</v>
      </c>
      <c r="S11" s="273" t="s">
        <v>47</v>
      </c>
      <c r="T11" s="238" t="str">
        <f t="shared" si="6"/>
        <v>12,0</v>
      </c>
      <c r="U11" s="243"/>
    </row>
    <row r="12" spans="1:21" ht="17.100000000000001" customHeight="1" x14ac:dyDescent="0.25">
      <c r="A12" s="1" t="str">
        <f>Minták!W11</f>
        <v>7/IV-Rkohqy</v>
      </c>
      <c r="B12" s="1"/>
      <c r="C12" s="4">
        <f t="shared" si="1"/>
        <v>1.6000000000000005</v>
      </c>
      <c r="D12" s="223">
        <f t="shared" si="2"/>
        <v>1.6000000000000005</v>
      </c>
      <c r="E12" s="1"/>
      <c r="F12" s="4">
        <v>100</v>
      </c>
      <c r="G12" s="1"/>
      <c r="H12" s="267">
        <f t="shared" si="0"/>
        <v>16.000000000000004</v>
      </c>
      <c r="I12" t="str">
        <f t="shared" si="3"/>
        <v>16,0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38"/>
      <c r="P12" s="238">
        <f t="shared" si="7"/>
        <v>1.3000000000000003</v>
      </c>
      <c r="Q12" s="238">
        <f t="shared" si="4"/>
        <v>1.3000000000000003</v>
      </c>
      <c r="R12" s="238">
        <f t="shared" si="5"/>
        <v>100</v>
      </c>
      <c r="S12" s="273">
        <f>E6</f>
        <v>10</v>
      </c>
      <c r="T12" s="238" t="str">
        <f>I9</f>
        <v>13,0</v>
      </c>
      <c r="U12" s="243"/>
    </row>
    <row r="13" spans="1:21" ht="17.100000000000001" customHeight="1" x14ac:dyDescent="0.25">
      <c r="A13" s="1" t="str">
        <f>Minták!W12</f>
        <v>8/IV-Vxhhmc</v>
      </c>
      <c r="B13" s="1"/>
      <c r="C13" s="4">
        <f t="shared" si="1"/>
        <v>1.7000000000000006</v>
      </c>
      <c r="D13" s="223">
        <f t="shared" si="2"/>
        <v>1.7000000000000006</v>
      </c>
      <c r="E13" s="1"/>
      <c r="F13" s="4">
        <v>100</v>
      </c>
      <c r="G13" s="1"/>
      <c r="H13" s="267">
        <f t="shared" ref="H13:H22" si="8">(D13*$G$6)*1000/F13</f>
        <v>17.000000000000007</v>
      </c>
      <c r="I13" t="str">
        <f t="shared" si="3"/>
        <v>17,0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38"/>
      <c r="P13" s="238">
        <f t="shared" si="7"/>
        <v>1.4000000000000004</v>
      </c>
      <c r="Q13" s="238">
        <f t="shared" si="4"/>
        <v>1.4000000000000004</v>
      </c>
      <c r="R13" s="238">
        <f t="shared" si="5"/>
        <v>100</v>
      </c>
      <c r="S13" s="273"/>
      <c r="T13" s="238" t="str">
        <f t="shared" si="6"/>
        <v>14,0</v>
      </c>
      <c r="U13" s="243"/>
    </row>
    <row r="14" spans="1:21" ht="17.100000000000001" customHeight="1" x14ac:dyDescent="0.25">
      <c r="A14" s="1" t="str">
        <f>Minták!W13</f>
        <v>9/IV-Msdxtl</v>
      </c>
      <c r="B14" s="1"/>
      <c r="C14" s="4">
        <f t="shared" si="1"/>
        <v>1.8000000000000007</v>
      </c>
      <c r="D14" s="223">
        <f t="shared" si="2"/>
        <v>1.8000000000000007</v>
      </c>
      <c r="E14" s="1"/>
      <c r="F14" s="4">
        <v>100</v>
      </c>
      <c r="G14" s="1"/>
      <c r="H14" s="267">
        <f t="shared" si="8"/>
        <v>18.000000000000007</v>
      </c>
      <c r="I14" t="str">
        <f t="shared" si="3"/>
        <v>18,0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38"/>
      <c r="P14" s="238">
        <f t="shared" si="7"/>
        <v>1.5000000000000004</v>
      </c>
      <c r="Q14" s="238">
        <f t="shared" si="4"/>
        <v>1.5000000000000004</v>
      </c>
      <c r="R14" s="238">
        <f t="shared" si="5"/>
        <v>100</v>
      </c>
      <c r="S14" s="273"/>
      <c r="T14" s="238" t="str">
        <f t="shared" si="6"/>
        <v>15,0</v>
      </c>
      <c r="U14" s="243"/>
    </row>
    <row r="15" spans="1:21" ht="17.100000000000001" customHeight="1" x14ac:dyDescent="0.25">
      <c r="A15" s="1" t="str">
        <f>Minták!W14</f>
        <v>10/IV-Qoldnt</v>
      </c>
      <c r="B15" s="1"/>
      <c r="C15" s="4">
        <f t="shared" si="1"/>
        <v>1.9000000000000008</v>
      </c>
      <c r="D15" s="223">
        <f t="shared" si="2"/>
        <v>1.9000000000000008</v>
      </c>
      <c r="E15" s="1"/>
      <c r="F15" s="4">
        <v>100</v>
      </c>
      <c r="G15" s="1"/>
      <c r="H15" s="267">
        <f t="shared" si="8"/>
        <v>19.000000000000011</v>
      </c>
      <c r="I15" t="str">
        <f t="shared" si="3"/>
        <v>19,0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38"/>
      <c r="P15" s="238">
        <f t="shared" si="7"/>
        <v>1.6000000000000005</v>
      </c>
      <c r="Q15" s="238">
        <f t="shared" si="4"/>
        <v>1.6000000000000005</v>
      </c>
      <c r="R15" s="238">
        <f t="shared" si="5"/>
        <v>100</v>
      </c>
      <c r="S15" s="273"/>
      <c r="T15" s="238" t="str">
        <f t="shared" si="6"/>
        <v>16,0</v>
      </c>
      <c r="U15" s="243"/>
    </row>
    <row r="16" spans="1:21" ht="17.100000000000001" customHeight="1" x14ac:dyDescent="0.25">
      <c r="A16" s="1" t="str">
        <f>Minták!W15</f>
        <v>11/IV-Qnvptf</v>
      </c>
      <c r="B16" s="1"/>
      <c r="C16" s="4">
        <f t="shared" si="1"/>
        <v>2.0000000000000009</v>
      </c>
      <c r="D16" s="223">
        <f t="shared" si="2"/>
        <v>2.0000000000000009</v>
      </c>
      <c r="E16" s="1"/>
      <c r="F16" s="4">
        <v>100</v>
      </c>
      <c r="G16" s="1"/>
      <c r="H16" s="267">
        <f t="shared" si="8"/>
        <v>20.000000000000011</v>
      </c>
      <c r="I16" t="str">
        <f t="shared" si="3"/>
        <v>20,0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38"/>
      <c r="P16" s="238">
        <f t="shared" si="7"/>
        <v>1.7000000000000006</v>
      </c>
      <c r="Q16" s="238">
        <f t="shared" si="4"/>
        <v>1.7000000000000006</v>
      </c>
      <c r="R16" s="238">
        <f t="shared" si="5"/>
        <v>100</v>
      </c>
      <c r="S16" s="273"/>
      <c r="T16" s="238" t="str">
        <f t="shared" si="6"/>
        <v>17,0</v>
      </c>
      <c r="U16" s="270"/>
    </row>
    <row r="17" spans="1:21" ht="17.100000000000001" customHeight="1" x14ac:dyDescent="0.25">
      <c r="A17" s="1" t="str">
        <f>Minták!W16</f>
        <v>12/IV-Lebdoq</v>
      </c>
      <c r="B17" s="1"/>
      <c r="C17" s="4">
        <f t="shared" si="1"/>
        <v>2.100000000000001</v>
      </c>
      <c r="D17" s="223">
        <f t="shared" si="2"/>
        <v>2.100000000000001</v>
      </c>
      <c r="E17" s="1"/>
      <c r="F17" s="4">
        <v>100</v>
      </c>
      <c r="G17" s="1"/>
      <c r="H17" s="267">
        <f t="shared" si="8"/>
        <v>21.000000000000011</v>
      </c>
      <c r="I17" t="str">
        <f t="shared" si="3"/>
        <v>21,0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38"/>
      <c r="P17" s="238">
        <f t="shared" si="7"/>
        <v>1.8000000000000007</v>
      </c>
      <c r="Q17" s="238">
        <f t="shared" si="4"/>
        <v>1.8000000000000007</v>
      </c>
      <c r="R17" s="238">
        <f t="shared" si="5"/>
        <v>100</v>
      </c>
      <c r="S17" s="273"/>
      <c r="T17" s="238" t="str">
        <f t="shared" si="6"/>
        <v>18,0</v>
      </c>
      <c r="U17" s="270"/>
    </row>
    <row r="18" spans="1:21" ht="17.100000000000001" customHeight="1" x14ac:dyDescent="0.25">
      <c r="A18" s="1" t="str">
        <f>Minták!W17</f>
        <v>13/IV-Askfua</v>
      </c>
      <c r="B18" s="1"/>
      <c r="C18" s="4">
        <f t="shared" si="1"/>
        <v>2.2000000000000011</v>
      </c>
      <c r="D18" s="223">
        <f t="shared" si="2"/>
        <v>2.2000000000000011</v>
      </c>
      <c r="E18" s="1"/>
      <c r="F18" s="4">
        <v>100</v>
      </c>
      <c r="G18" s="1"/>
      <c r="H18" s="267">
        <f t="shared" si="8"/>
        <v>22.000000000000011</v>
      </c>
      <c r="I18" t="str">
        <f t="shared" si="3"/>
        <v>22,0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38"/>
      <c r="P18" s="238">
        <f t="shared" si="7"/>
        <v>1.9000000000000008</v>
      </c>
      <c r="Q18" s="238">
        <f t="shared" si="4"/>
        <v>1.9000000000000008</v>
      </c>
      <c r="R18" s="238">
        <f t="shared" si="5"/>
        <v>100</v>
      </c>
      <c r="S18" s="273"/>
      <c r="T18" s="238" t="str">
        <f t="shared" si="6"/>
        <v>19,0</v>
      </c>
      <c r="U18" s="243"/>
    </row>
    <row r="19" spans="1:21" ht="17.100000000000001" customHeight="1" x14ac:dyDescent="0.25">
      <c r="A19" s="1" t="str">
        <f>Minták!W18</f>
        <v>14/IV-Mcsjny</v>
      </c>
      <c r="B19" s="1"/>
      <c r="C19" s="4">
        <f t="shared" si="1"/>
        <v>2.3000000000000012</v>
      </c>
      <c r="D19" s="223">
        <f t="shared" si="2"/>
        <v>2.3000000000000012</v>
      </c>
      <c r="E19" s="1"/>
      <c r="F19" s="4">
        <v>100</v>
      </c>
      <c r="G19" s="1"/>
      <c r="H19" s="267">
        <f t="shared" si="8"/>
        <v>23.000000000000014</v>
      </c>
      <c r="I19" t="str">
        <f t="shared" si="3"/>
        <v>23,0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38"/>
      <c r="P19" s="238">
        <f t="shared" si="7"/>
        <v>2.0000000000000009</v>
      </c>
      <c r="Q19" s="238">
        <f t="shared" si="4"/>
        <v>2.0000000000000009</v>
      </c>
      <c r="R19" s="238">
        <f t="shared" si="5"/>
        <v>100</v>
      </c>
      <c r="S19" s="273"/>
      <c r="T19" s="238" t="str">
        <f t="shared" si="6"/>
        <v>20,0</v>
      </c>
      <c r="U19" s="243"/>
    </row>
    <row r="20" spans="1:21" ht="17.100000000000001" customHeight="1" x14ac:dyDescent="0.25">
      <c r="A20" s="1" t="str">
        <f>Minták!W19</f>
        <v>15/IV-Rskdom</v>
      </c>
      <c r="B20" s="1"/>
      <c r="C20" s="4">
        <f t="shared" si="1"/>
        <v>2.4000000000000012</v>
      </c>
      <c r="D20" s="223">
        <f t="shared" si="2"/>
        <v>2.4000000000000012</v>
      </c>
      <c r="E20" s="1"/>
      <c r="F20" s="4">
        <v>100</v>
      </c>
      <c r="G20" s="1"/>
      <c r="H20" s="267">
        <f t="shared" si="8"/>
        <v>24.000000000000014</v>
      </c>
      <c r="I20" t="str">
        <f t="shared" si="3"/>
        <v>24,0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38"/>
      <c r="P20" s="238">
        <f t="shared" si="7"/>
        <v>2.100000000000001</v>
      </c>
      <c r="Q20" s="238">
        <f t="shared" si="4"/>
        <v>2.100000000000001</v>
      </c>
      <c r="R20" s="238">
        <f t="shared" ref="R20:R25" si="9">IFERROR(IF($A17="-","",F17),"-")</f>
        <v>100</v>
      </c>
      <c r="S20" s="273"/>
      <c r="T20" s="238" t="str">
        <f t="shared" si="6"/>
        <v>21,0</v>
      </c>
      <c r="U20" s="270"/>
    </row>
    <row r="21" spans="1:21" ht="17.100000000000001" customHeight="1" x14ac:dyDescent="0.25">
      <c r="A21" s="1" t="str">
        <f>Minták!W20</f>
        <v>16/IV-Jyhjzbmb</v>
      </c>
      <c r="B21" s="1"/>
      <c r="C21" s="4">
        <f t="shared" si="1"/>
        <v>2.5000000000000013</v>
      </c>
      <c r="D21" s="223">
        <f t="shared" si="2"/>
        <v>2.5000000000000013</v>
      </c>
      <c r="E21" s="1"/>
      <c r="F21" s="4">
        <v>100</v>
      </c>
      <c r="G21" s="1"/>
      <c r="H21" s="267">
        <f t="shared" si="8"/>
        <v>25.000000000000014</v>
      </c>
      <c r="I21" t="str">
        <f t="shared" si="3"/>
        <v>25,0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38"/>
      <c r="P21" s="238">
        <f t="shared" si="7"/>
        <v>2.2000000000000011</v>
      </c>
      <c r="Q21" s="238">
        <f t="shared" si="4"/>
        <v>2.2000000000000011</v>
      </c>
      <c r="R21" s="238">
        <f t="shared" si="9"/>
        <v>100</v>
      </c>
      <c r="S21" s="273"/>
      <c r="T21" s="238" t="str">
        <f t="shared" si="6"/>
        <v>22,0</v>
      </c>
      <c r="U21" s="270"/>
    </row>
    <row r="22" spans="1:21" ht="17.100000000000001" customHeight="1" x14ac:dyDescent="0.25">
      <c r="A22" s="18" t="s">
        <v>160</v>
      </c>
      <c r="B22" s="1"/>
      <c r="C22" s="4">
        <f t="shared" si="1"/>
        <v>2.6000000000000014</v>
      </c>
      <c r="D22" s="223">
        <f t="shared" si="2"/>
        <v>2.6000000000000014</v>
      </c>
      <c r="E22" s="1"/>
      <c r="F22" s="4">
        <v>100</v>
      </c>
      <c r="G22" s="1"/>
      <c r="H22" s="267">
        <f t="shared" si="8"/>
        <v>26.000000000000014</v>
      </c>
      <c r="I22" s="52">
        <f>ROUND(((H22*100)/VLOOKUP(A22,$D$28:$F$30,3,FALSE)),1)</f>
        <v>130</v>
      </c>
      <c r="J22" s="52"/>
      <c r="K22" s="52"/>
      <c r="L22" s="237" t="str">
        <f>IF(Minták!D18="","",Minták!D18)</f>
        <v>14/IV</v>
      </c>
      <c r="M22" s="244"/>
      <c r="N22" s="239" t="str">
        <f>IF(Minták!H18="","",Minták!H18)</f>
        <v>Mcsjny</v>
      </c>
      <c r="O22" s="238"/>
      <c r="P22" s="238">
        <f t="shared" si="7"/>
        <v>2.3000000000000012</v>
      </c>
      <c r="Q22" s="238">
        <f t="shared" si="4"/>
        <v>2.3000000000000012</v>
      </c>
      <c r="R22" s="238">
        <f t="shared" si="9"/>
        <v>100</v>
      </c>
      <c r="S22" s="273"/>
      <c r="T22" s="238" t="str">
        <f t="shared" si="6"/>
        <v>23,0</v>
      </c>
      <c r="U22" s="243"/>
    </row>
    <row r="23" spans="1:21" ht="17.100000000000001" customHeight="1" x14ac:dyDescent="0.25">
      <c r="L23" s="237" t="str">
        <f>IF(Minták!D19="","",Minták!D19)</f>
        <v>15/IV</v>
      </c>
      <c r="M23" s="244"/>
      <c r="N23" s="239" t="str">
        <f>IF(Minták!H19="","",Minták!H19)</f>
        <v>Rskdom</v>
      </c>
      <c r="O23" s="238"/>
      <c r="P23" s="238">
        <f t="shared" si="7"/>
        <v>2.4000000000000012</v>
      </c>
      <c r="Q23" s="238">
        <f t="shared" si="4"/>
        <v>2.4000000000000012</v>
      </c>
      <c r="R23" s="238">
        <f t="shared" si="9"/>
        <v>100</v>
      </c>
      <c r="S23" s="273"/>
      <c r="T23" s="238" t="str">
        <f t="shared" si="6"/>
        <v>24,0</v>
      </c>
      <c r="U23" s="243"/>
    </row>
    <row r="24" spans="1:21" ht="17.100000000000001" customHeight="1" x14ac:dyDescent="0.25">
      <c r="L24" s="237" t="str">
        <f>IF(Minták!D20="","",Minták!D20)</f>
        <v>16/IV</v>
      </c>
      <c r="M24" s="249"/>
      <c r="N24" s="239" t="str">
        <f>IF(Minták!H20="","",Minták!H20)</f>
        <v>Jyhjzbmb</v>
      </c>
      <c r="O24" s="238"/>
      <c r="P24" s="238">
        <f t="shared" si="7"/>
        <v>2.5000000000000013</v>
      </c>
      <c r="Q24" s="238">
        <f t="shared" si="4"/>
        <v>2.5000000000000013</v>
      </c>
      <c r="R24" s="238">
        <f t="shared" si="9"/>
        <v>100</v>
      </c>
      <c r="S24" s="273"/>
      <c r="T24" s="238" t="str">
        <f t="shared" si="6"/>
        <v>25,0</v>
      </c>
      <c r="U24" s="272"/>
    </row>
    <row r="25" spans="1:21" ht="17.100000000000001" customHeight="1" x14ac:dyDescent="0.25">
      <c r="L25" s="253"/>
      <c r="M25" s="249"/>
      <c r="N25" s="273" t="str">
        <f>A22</f>
        <v>QC1 (20)</v>
      </c>
      <c r="O25" s="238"/>
      <c r="P25" s="238">
        <f t="shared" si="7"/>
        <v>2.6000000000000014</v>
      </c>
      <c r="Q25" s="238">
        <f t="shared" si="4"/>
        <v>2.6000000000000014</v>
      </c>
      <c r="R25" s="238">
        <f t="shared" si="9"/>
        <v>100</v>
      </c>
      <c r="S25" s="273"/>
      <c r="T25" s="265">
        <f>H22</f>
        <v>26.000000000000014</v>
      </c>
      <c r="U25" s="272" t="str">
        <f>CONCATENATE(ROUND(I22,1),"%")</f>
        <v>130%</v>
      </c>
    </row>
    <row r="26" spans="1:21" ht="17.100000000000001" customHeight="1" thickBot="1" x14ac:dyDescent="0.3">
      <c r="L26" s="254"/>
      <c r="M26" s="255"/>
      <c r="N26" s="274"/>
      <c r="O26" s="258"/>
      <c r="P26" s="258"/>
      <c r="Q26" s="258"/>
      <c r="R26" s="258"/>
      <c r="S26" s="274"/>
      <c r="T26" s="258"/>
      <c r="U26" s="290"/>
    </row>
    <row r="27" spans="1:21" ht="17.100000000000001" customHeight="1" x14ac:dyDescent="0.25">
      <c r="A27" t="s">
        <v>24</v>
      </c>
      <c r="D27" t="s">
        <v>85</v>
      </c>
      <c r="F27" t="s">
        <v>87</v>
      </c>
    </row>
    <row r="28" spans="1:21" ht="17.100000000000001" customHeight="1" x14ac:dyDescent="0.25">
      <c r="A28" s="9" t="s">
        <v>44</v>
      </c>
      <c r="D28" s="1" t="str">
        <f>Minták!DW14</f>
        <v>QC1 (20)</v>
      </c>
      <c r="F28" s="1">
        <f>Minták!DX14</f>
        <v>20</v>
      </c>
      <c r="R28" s="15" t="s">
        <v>38</v>
      </c>
    </row>
    <row r="29" spans="1:21" ht="17.100000000000001" customHeight="1" x14ac:dyDescent="0.25">
      <c r="A29" t="s">
        <v>54</v>
      </c>
      <c r="B29" s="260" t="str">
        <f>Minták!DU14</f>
        <v>2,0</v>
      </c>
      <c r="D29" s="1" t="str">
        <f>Minták!DY14</f>
        <v>-</v>
      </c>
      <c r="F29" s="1" t="str">
        <f>Minták!DZ14</f>
        <v>-</v>
      </c>
    </row>
    <row r="30" spans="1:21" ht="17.100000000000001" customHeight="1" x14ac:dyDescent="0.25">
      <c r="A30" t="s">
        <v>55</v>
      </c>
      <c r="B30" s="1" t="str">
        <f>Minták!DV14</f>
        <v>képlet</v>
      </c>
      <c r="D30" s="1" t="str">
        <f>Minták!EA14</f>
        <v>-</v>
      </c>
      <c r="F30" s="1" t="str">
        <f>Minták!EB14</f>
        <v>-</v>
      </c>
    </row>
    <row r="31" spans="1:21" ht="17.100000000000001" customHeight="1" x14ac:dyDescent="0.25">
      <c r="A31" t="s">
        <v>135</v>
      </c>
      <c r="B31" s="1" t="str">
        <f>Minták!DT14</f>
        <v>-</v>
      </c>
    </row>
    <row r="32" spans="1:2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  <row r="39" ht="17.100000000000001" customHeight="1" x14ac:dyDescent="0.25"/>
    <row r="40" ht="17.100000000000001" customHeight="1" x14ac:dyDescent="0.25"/>
    <row r="41" ht="17.100000000000001" customHeight="1" x14ac:dyDescent="0.25"/>
    <row r="42" ht="17.100000000000001" customHeight="1" x14ac:dyDescent="0.25"/>
    <row r="43" ht="17.100000000000001" customHeight="1" x14ac:dyDescent="0.25"/>
    <row r="44" ht="17.100000000000001" customHeight="1" x14ac:dyDescent="0.25"/>
    <row r="45" ht="17.100000000000001" customHeight="1" x14ac:dyDescent="0.25"/>
    <row r="46" ht="17.100000000000001" customHeight="1" x14ac:dyDescent="0.25"/>
    <row r="47" ht="17.100000000000001" customHeight="1" x14ac:dyDescent="0.25"/>
    <row r="48" ht="17.100000000000001" customHeight="1" x14ac:dyDescent="0.25"/>
    <row r="49" ht="17.100000000000001" customHeight="1" x14ac:dyDescent="0.25"/>
    <row r="50" ht="17.100000000000001" customHeight="1" x14ac:dyDescent="0.25"/>
    <row r="51" ht="17.100000000000001" customHeight="1" x14ac:dyDescent="0.25"/>
    <row r="52" ht="17.100000000000001" customHeight="1" x14ac:dyDescent="0.25"/>
    <row r="53" ht="17.100000000000001" customHeight="1" x14ac:dyDescent="0.25"/>
    <row r="54" ht="17.100000000000001" customHeight="1" x14ac:dyDescent="0.25"/>
    <row r="55" ht="17.100000000000001" customHeight="1" x14ac:dyDescent="0.25"/>
    <row r="56" ht="17.100000000000001" customHeight="1" x14ac:dyDescent="0.25"/>
  </sheetData>
  <sheetProtection algorithmName="SHA-512" hashValue="dQAglQmfYAABUdpYlzAOXyjjma+KOFuQ/U2Vc0EeKn+K1bcx3HW11Y6CxMRrh82BDeTtsD3FAExxweyd7eAnaQ==" saltValue="4Mi9Tz6O6MXP/MEx4YgfhA==" spinCount="100000" sheet="1" objects="1" scenarios="1"/>
  <mergeCells count="15">
    <mergeCell ref="U6:U8"/>
    <mergeCell ref="L6:L8"/>
    <mergeCell ref="M6:M8"/>
    <mergeCell ref="N6:N8"/>
    <mergeCell ref="O6:Q7"/>
    <mergeCell ref="R6:R8"/>
    <mergeCell ref="S6:S8"/>
    <mergeCell ref="A1:H2"/>
    <mergeCell ref="L1:M4"/>
    <mergeCell ref="N1:T4"/>
    <mergeCell ref="A3:A4"/>
    <mergeCell ref="B3:E4"/>
    <mergeCell ref="F3:F4"/>
    <mergeCell ref="G3:G4"/>
    <mergeCell ref="H3:H4"/>
  </mergeCells>
  <pageMargins left="0.7" right="0.7" top="0.75" bottom="0.75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unka10"/>
  <dimension ref="A1:U34"/>
  <sheetViews>
    <sheetView zoomScaleNormal="100" workbookViewId="0">
      <selection activeCell="C6" sqref="C6:C21"/>
    </sheetView>
  </sheetViews>
  <sheetFormatPr defaultColWidth="9.140625" defaultRowHeight="18.399999999999999" customHeight="1" x14ac:dyDescent="0.25"/>
  <cols>
    <col min="1" max="1" width="33" customWidth="1"/>
    <col min="2" max="2" width="13.140625" customWidth="1"/>
    <col min="3" max="3" width="11.7109375" customWidth="1"/>
    <col min="4" max="5" width="12.140625" customWidth="1"/>
    <col min="6" max="6" width="11.85546875" customWidth="1"/>
    <col min="7" max="7" width="12.28515625" customWidth="1"/>
    <col min="8" max="8" width="14.140625" customWidth="1"/>
    <col min="10" max="10" width="9.5703125" bestFit="1" customWidth="1"/>
    <col min="12" max="12" width="9.140625" style="82"/>
    <col min="13" max="13" width="13.85546875" style="82" customWidth="1"/>
    <col min="14" max="14" width="27.5703125" style="82" customWidth="1"/>
    <col min="15" max="17" width="7.7109375" style="82" customWidth="1"/>
    <col min="18" max="18" width="11.85546875" style="82" customWidth="1"/>
    <col min="19" max="19" width="12" style="82" customWidth="1"/>
    <col min="20" max="20" width="15" style="82" customWidth="1"/>
    <col min="21" max="21" width="18.5703125" style="82" customWidth="1"/>
  </cols>
  <sheetData>
    <row r="1" spans="1:21" ht="18.399999999999999" customHeight="1" thickBot="1" x14ac:dyDescent="0.3">
      <c r="A1" s="733" t="s">
        <v>163</v>
      </c>
      <c r="B1" s="733"/>
      <c r="C1" s="733"/>
      <c r="D1" s="733"/>
      <c r="E1" s="733"/>
      <c r="F1" s="733"/>
      <c r="G1" s="733"/>
      <c r="H1" s="733"/>
      <c r="L1" s="438" t="s">
        <v>319</v>
      </c>
      <c r="M1" s="690"/>
      <c r="N1" s="695" t="s">
        <v>356</v>
      </c>
      <c r="O1" s="742"/>
      <c r="P1" s="742"/>
      <c r="Q1" s="742"/>
      <c r="R1" s="742"/>
      <c r="S1" s="742"/>
      <c r="T1" s="743"/>
      <c r="U1" s="307" t="s">
        <v>342</v>
      </c>
    </row>
    <row r="2" spans="1:21" ht="18.399999999999999" customHeight="1" thickBot="1" x14ac:dyDescent="0.3">
      <c r="A2" s="733"/>
      <c r="B2" s="733"/>
      <c r="C2" s="733"/>
      <c r="D2" s="733"/>
      <c r="E2" s="733"/>
      <c r="F2" s="733"/>
      <c r="G2" s="733"/>
      <c r="H2" s="733"/>
      <c r="L2" s="691"/>
      <c r="M2" s="692"/>
      <c r="N2" s="744"/>
      <c r="O2" s="745"/>
      <c r="P2" s="745"/>
      <c r="Q2" s="745"/>
      <c r="R2" s="745"/>
      <c r="S2" s="745"/>
      <c r="T2" s="746"/>
      <c r="U2" s="308" t="s">
        <v>320</v>
      </c>
    </row>
    <row r="3" spans="1:21" ht="18.399999999999999" customHeight="1" x14ac:dyDescent="0.25">
      <c r="A3" s="734" t="s">
        <v>3</v>
      </c>
      <c r="B3" s="750" t="s">
        <v>168</v>
      </c>
      <c r="C3" s="751"/>
      <c r="D3" s="751"/>
      <c r="E3" s="752"/>
      <c r="F3" s="760" t="s">
        <v>134</v>
      </c>
      <c r="G3" s="756" t="s">
        <v>167</v>
      </c>
      <c r="H3" s="760" t="s">
        <v>170</v>
      </c>
      <c r="J3" s="760" t="s">
        <v>172</v>
      </c>
      <c r="L3" s="691"/>
      <c r="M3" s="692"/>
      <c r="N3" s="744"/>
      <c r="O3" s="745"/>
      <c r="P3" s="745"/>
      <c r="Q3" s="745"/>
      <c r="R3" s="745"/>
      <c r="S3" s="745"/>
      <c r="T3" s="746"/>
      <c r="U3" s="308" t="s">
        <v>706</v>
      </c>
    </row>
    <row r="4" spans="1:21" ht="18.399999999999999" customHeight="1" thickBot="1" x14ac:dyDescent="0.3">
      <c r="A4" s="735"/>
      <c r="B4" s="753"/>
      <c r="C4" s="754"/>
      <c r="D4" s="754"/>
      <c r="E4" s="755"/>
      <c r="F4" s="762"/>
      <c r="G4" s="757"/>
      <c r="H4" s="763"/>
      <c r="J4" s="763"/>
      <c r="L4" s="693"/>
      <c r="M4" s="694"/>
      <c r="N4" s="747"/>
      <c r="O4" s="748"/>
      <c r="P4" s="748"/>
      <c r="Q4" s="748"/>
      <c r="R4" s="748"/>
      <c r="S4" s="748"/>
      <c r="T4" s="749"/>
      <c r="U4" s="309" t="s">
        <v>324</v>
      </c>
    </row>
    <row r="5" spans="1:21" ht="17.100000000000001" customHeight="1" thickBot="1" x14ac:dyDescent="0.3">
      <c r="A5" s="295"/>
      <c r="B5" s="306" t="s">
        <v>33</v>
      </c>
      <c r="C5" s="306" t="s">
        <v>34</v>
      </c>
      <c r="D5" s="298" t="s">
        <v>114</v>
      </c>
      <c r="E5" s="298" t="s">
        <v>115</v>
      </c>
      <c r="F5" s="299" t="s">
        <v>116</v>
      </c>
      <c r="G5" s="299"/>
      <c r="H5" s="299" t="s">
        <v>171</v>
      </c>
      <c r="J5" s="299" t="s">
        <v>62</v>
      </c>
    </row>
    <row r="6" spans="1:21" ht="17.100000000000001" customHeight="1" x14ac:dyDescent="0.25">
      <c r="A6" s="1" t="str">
        <f>Minták!W5</f>
        <v>1/IV-Nhhlz</v>
      </c>
      <c r="B6" s="2">
        <v>0</v>
      </c>
      <c r="C6" s="4">
        <v>3</v>
      </c>
      <c r="D6" s="261" t="s">
        <v>44</v>
      </c>
      <c r="E6" s="2">
        <v>12.5</v>
      </c>
      <c r="F6" s="4">
        <v>100</v>
      </c>
      <c r="G6" s="300">
        <f>662.5/(53*(E6-B6))</f>
        <v>1</v>
      </c>
      <c r="H6" s="267">
        <f t="shared" ref="H6:H21" si="0">(C6*$G$6)*B$31/F6</f>
        <v>3</v>
      </c>
      <c r="I6" t="str">
        <f>IFERROR(IF(H6&lt;VALUE(B$29),CONCATENATE("&lt;",B$29),IF(H6&lt;10,FIXED(H6,2),IF(H6&lt;100,FIXED(H6,1),IF(H6&lt;1000,FIXED(H6,0),FIXED(H6,-1))))),"-")</f>
        <v>3,00</v>
      </c>
      <c r="J6" s="267">
        <f t="shared" ref="J6:J17" si="1">H6*61</f>
        <v>183</v>
      </c>
      <c r="K6" t="str">
        <f t="shared" ref="K6:K14" si="2">IFERROR(IF(J6&lt;VALUE(C$29),CONCATENATE("&lt;",C$29),IF(J6&lt;10,FIXED(J6,2),IF(J6&lt;100,FIXED(J6,1),IF(J6&lt;1000,FIXED(J6,0),FIXED(J6,-1))))),"-")</f>
        <v>183</v>
      </c>
      <c r="L6" s="704" t="s">
        <v>25</v>
      </c>
      <c r="M6" s="704" t="s">
        <v>26</v>
      </c>
      <c r="N6" s="707" t="s">
        <v>27</v>
      </c>
      <c r="O6" s="736" t="s">
        <v>46</v>
      </c>
      <c r="P6" s="737"/>
      <c r="Q6" s="738"/>
      <c r="R6" s="704" t="s">
        <v>117</v>
      </c>
      <c r="S6" s="688" t="s">
        <v>175</v>
      </c>
      <c r="T6" s="222" t="s">
        <v>169</v>
      </c>
      <c r="U6" s="222" t="s">
        <v>254</v>
      </c>
    </row>
    <row r="7" spans="1:21" ht="17.100000000000001" customHeight="1" x14ac:dyDescent="0.25">
      <c r="A7" s="1" t="str">
        <f>Minták!W6</f>
        <v>2/IV-ADATOT BEÍRNI</v>
      </c>
      <c r="B7" s="1"/>
      <c r="C7" s="4">
        <f>C6+0.1</f>
        <v>3.1</v>
      </c>
      <c r="D7" s="223" t="s">
        <v>44</v>
      </c>
      <c r="E7" s="1"/>
      <c r="F7" s="4">
        <v>100</v>
      </c>
      <c r="G7" s="1"/>
      <c r="H7" s="267">
        <f t="shared" si="0"/>
        <v>3.1</v>
      </c>
      <c r="I7" t="str">
        <f t="shared" ref="I7:I21" si="3">IFERROR(IF(H7&lt;VALUE(B$29),CONCATENATE("&lt;",B$29),IF(H7&lt;10,FIXED(H7,2),IF(H7&lt;100,FIXED(H7,1),IF(H7&lt;1000,FIXED(H7,0),FIXED(H7,-1))))),"-")</f>
        <v>3,10</v>
      </c>
      <c r="J7" s="267">
        <f t="shared" si="1"/>
        <v>189.1</v>
      </c>
      <c r="K7" t="str">
        <f t="shared" si="2"/>
        <v>189</v>
      </c>
      <c r="L7" s="705"/>
      <c r="M7" s="705"/>
      <c r="N7" s="708"/>
      <c r="O7" s="739"/>
      <c r="P7" s="740"/>
      <c r="Q7" s="741"/>
      <c r="R7" s="705"/>
      <c r="S7" s="689"/>
      <c r="T7" s="226" t="s">
        <v>171</v>
      </c>
      <c r="U7" s="226" t="s">
        <v>62</v>
      </c>
    </row>
    <row r="8" spans="1:21" ht="17.100000000000001" customHeight="1" thickBot="1" x14ac:dyDescent="0.3">
      <c r="A8" s="1" t="str">
        <f>Minták!W7</f>
        <v>3/KIV-ADATOT BEÍRNI</v>
      </c>
      <c r="B8" s="1"/>
      <c r="C8" s="4">
        <f t="shared" ref="C8:C21" si="4">C7+0.1</f>
        <v>3.2</v>
      </c>
      <c r="D8" s="223" t="s">
        <v>44</v>
      </c>
      <c r="E8" s="1" t="s">
        <v>165</v>
      </c>
      <c r="F8" s="4">
        <v>100</v>
      </c>
      <c r="G8" s="1"/>
      <c r="H8" s="267">
        <f t="shared" si="0"/>
        <v>3.2</v>
      </c>
      <c r="I8" t="str">
        <f t="shared" si="3"/>
        <v>3,20</v>
      </c>
      <c r="J8" s="267">
        <f t="shared" si="1"/>
        <v>195.20000000000002</v>
      </c>
      <c r="K8" t="str">
        <f t="shared" si="2"/>
        <v>195</v>
      </c>
      <c r="L8" s="706"/>
      <c r="M8" s="706"/>
      <c r="N8" s="709"/>
      <c r="O8" s="301" t="s">
        <v>33</v>
      </c>
      <c r="P8" s="302" t="s">
        <v>34</v>
      </c>
      <c r="Q8" s="303" t="s">
        <v>35</v>
      </c>
      <c r="R8" s="706"/>
      <c r="S8" s="716"/>
      <c r="T8" s="304" t="s">
        <v>176</v>
      </c>
      <c r="U8" s="304" t="s">
        <v>177</v>
      </c>
    </row>
    <row r="9" spans="1:21" ht="17.100000000000001" customHeight="1" x14ac:dyDescent="0.25">
      <c r="A9" s="1" t="str">
        <f>Minták!W8</f>
        <v>4/IV-Ebnxscqc</v>
      </c>
      <c r="B9" s="1"/>
      <c r="C9" s="4">
        <f t="shared" si="4"/>
        <v>3.3000000000000003</v>
      </c>
      <c r="D9" s="223" t="s">
        <v>44</v>
      </c>
      <c r="E9" s="1" t="s">
        <v>166</v>
      </c>
      <c r="F9" s="4">
        <v>100</v>
      </c>
      <c r="G9" s="1"/>
      <c r="H9" s="267">
        <f t="shared" si="0"/>
        <v>3.3</v>
      </c>
      <c r="I9" t="str">
        <f t="shared" si="3"/>
        <v>3,30</v>
      </c>
      <c r="J9" s="267">
        <f t="shared" si="1"/>
        <v>201.29999999999998</v>
      </c>
      <c r="K9" t="str">
        <f t="shared" si="2"/>
        <v>201</v>
      </c>
      <c r="L9" s="230" t="str">
        <f>IF(Minták!D5="","",Minták!D5)</f>
        <v>1/IV</v>
      </c>
      <c r="M9" s="263" t="str">
        <f>A28</f>
        <v>-</v>
      </c>
      <c r="N9" s="232" t="str">
        <f>IF(Minták!H5="","",Minták!H5)</f>
        <v>Nhhlz</v>
      </c>
      <c r="O9" s="264">
        <f>B6</f>
        <v>0</v>
      </c>
      <c r="P9" s="234">
        <f>IF($A6="-","-",C6)</f>
        <v>3</v>
      </c>
      <c r="Q9" s="234" t="str">
        <f>IF($A6="-","-",IFERROR(D6,"-"))</f>
        <v>-</v>
      </c>
      <c r="R9" s="234">
        <f>IFERROR(IF($A6="-","-",F6),"-")</f>
        <v>100</v>
      </c>
      <c r="S9" s="305">
        <f>G6</f>
        <v>1</v>
      </c>
      <c r="T9" s="234" t="str">
        <f t="shared" ref="T9:T24" si="5">I6</f>
        <v>3,00</v>
      </c>
      <c r="U9" s="279" t="str">
        <f>K6</f>
        <v>183</v>
      </c>
    </row>
    <row r="10" spans="1:21" ht="17.100000000000001" customHeight="1" x14ac:dyDescent="0.25">
      <c r="A10" s="1" t="str">
        <f>Minták!W9</f>
        <v>5/IV-Ubqpva</v>
      </c>
      <c r="B10" s="1"/>
      <c r="C10" s="4">
        <f t="shared" si="4"/>
        <v>3.4000000000000004</v>
      </c>
      <c r="D10" s="223" t="s">
        <v>44</v>
      </c>
      <c r="E10" s="20">
        <v>25</v>
      </c>
      <c r="F10" s="4">
        <v>100</v>
      </c>
      <c r="G10" s="1"/>
      <c r="H10" s="267">
        <f t="shared" si="0"/>
        <v>3.4000000000000004</v>
      </c>
      <c r="I10" t="str">
        <f t="shared" si="3"/>
        <v>3,40</v>
      </c>
      <c r="J10" s="267">
        <f t="shared" si="1"/>
        <v>207.40000000000003</v>
      </c>
      <c r="K10" t="str">
        <f t="shared" si="2"/>
        <v>207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38"/>
      <c r="P10" s="238">
        <f>IF($A7="-","-",C7)</f>
        <v>3.1</v>
      </c>
      <c r="Q10" s="238" t="str">
        <f>IF($A7="-","-",IFERROR(D7,"-"))</f>
        <v>-</v>
      </c>
      <c r="R10" s="238">
        <f>IFERROR(IF($A7="-","-",F7),"-")</f>
        <v>100</v>
      </c>
      <c r="S10" s="273"/>
      <c r="T10" s="238" t="str">
        <f t="shared" si="5"/>
        <v>3,10</v>
      </c>
      <c r="U10" s="270" t="str">
        <f>K7</f>
        <v>189</v>
      </c>
    </row>
    <row r="11" spans="1:21" ht="17.100000000000001" customHeight="1" x14ac:dyDescent="0.25">
      <c r="A11" s="1" t="str">
        <f>Minták!W10</f>
        <v>6/IV-Eouypz</v>
      </c>
      <c r="B11" s="1"/>
      <c r="C11" s="4">
        <f t="shared" si="4"/>
        <v>3.5000000000000004</v>
      </c>
      <c r="D11" s="223" t="s">
        <v>44</v>
      </c>
      <c r="E11" s="1"/>
      <c r="F11" s="4">
        <v>100</v>
      </c>
      <c r="G11" s="1"/>
      <c r="H11" s="267">
        <f t="shared" si="0"/>
        <v>3.5000000000000004</v>
      </c>
      <c r="I11" t="str">
        <f t="shared" si="3"/>
        <v>3,50</v>
      </c>
      <c r="J11" s="267">
        <f t="shared" si="1"/>
        <v>213.50000000000003</v>
      </c>
      <c r="K11" t="str">
        <f t="shared" si="2"/>
        <v>214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38"/>
      <c r="P11" s="238">
        <f t="shared" ref="P11:P22" si="6">IF($A8="-","-",C8)</f>
        <v>3.2</v>
      </c>
      <c r="Q11" s="238" t="str">
        <f t="shared" ref="Q11:Q24" si="7">IF($A8="-","-",IFERROR(D8,"-"))</f>
        <v>-</v>
      </c>
      <c r="R11" s="238">
        <f t="shared" ref="R11:R24" si="8">IFERROR(IF($A8="-","-",F8),"-")</f>
        <v>100</v>
      </c>
      <c r="S11" s="273" t="s">
        <v>47</v>
      </c>
      <c r="T11" s="238" t="str">
        <f t="shared" si="5"/>
        <v>3,20</v>
      </c>
      <c r="U11" s="270" t="str">
        <f t="shared" ref="U11:U24" si="9">K8</f>
        <v>195</v>
      </c>
    </row>
    <row r="12" spans="1:21" ht="17.100000000000001" customHeight="1" x14ac:dyDescent="0.25">
      <c r="A12" s="1" t="str">
        <f>Minták!W11</f>
        <v>7/IV-Rkohqy</v>
      </c>
      <c r="B12" s="1"/>
      <c r="C12" s="4">
        <f t="shared" si="4"/>
        <v>3.6000000000000005</v>
      </c>
      <c r="D12" s="223" t="s">
        <v>44</v>
      </c>
      <c r="E12" s="1" t="s">
        <v>164</v>
      </c>
      <c r="F12" s="4">
        <v>100</v>
      </c>
      <c r="G12" s="1"/>
      <c r="H12" s="267">
        <f t="shared" si="0"/>
        <v>3.6000000000000005</v>
      </c>
      <c r="I12" t="str">
        <f t="shared" si="3"/>
        <v>3,60</v>
      </c>
      <c r="J12" s="267">
        <f t="shared" si="1"/>
        <v>219.60000000000002</v>
      </c>
      <c r="K12" t="str">
        <f t="shared" si="2"/>
        <v>220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38"/>
      <c r="P12" s="238">
        <f t="shared" si="6"/>
        <v>3.3000000000000003</v>
      </c>
      <c r="Q12" s="238" t="str">
        <f t="shared" si="7"/>
        <v>-</v>
      </c>
      <c r="R12" s="238">
        <f t="shared" si="8"/>
        <v>100</v>
      </c>
      <c r="S12" s="273">
        <f>E6</f>
        <v>12.5</v>
      </c>
      <c r="T12" s="238" t="str">
        <f>I9</f>
        <v>3,30</v>
      </c>
      <c r="U12" s="270" t="str">
        <f t="shared" si="9"/>
        <v>201</v>
      </c>
    </row>
    <row r="13" spans="1:21" ht="17.100000000000001" customHeight="1" x14ac:dyDescent="0.25">
      <c r="A13" s="1" t="str">
        <f>Minták!W12</f>
        <v>8/IV-Vxhhmc</v>
      </c>
      <c r="B13" s="1"/>
      <c r="C13" s="4">
        <f t="shared" si="4"/>
        <v>3.7000000000000006</v>
      </c>
      <c r="D13" s="223" t="s">
        <v>44</v>
      </c>
      <c r="E13" s="1" t="s">
        <v>712</v>
      </c>
      <c r="F13" s="4">
        <v>100</v>
      </c>
      <c r="G13" s="1"/>
      <c r="H13" s="267">
        <f t="shared" si="0"/>
        <v>3.7000000000000006</v>
      </c>
      <c r="I13" t="str">
        <f t="shared" si="3"/>
        <v>3,70</v>
      </c>
      <c r="J13" s="267">
        <f t="shared" si="1"/>
        <v>225.70000000000005</v>
      </c>
      <c r="K13" t="str">
        <f t="shared" si="2"/>
        <v>226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38"/>
      <c r="P13" s="238">
        <f t="shared" si="6"/>
        <v>3.4000000000000004</v>
      </c>
      <c r="Q13" s="238" t="str">
        <f t="shared" si="7"/>
        <v>-</v>
      </c>
      <c r="R13" s="238">
        <f t="shared" si="8"/>
        <v>100</v>
      </c>
      <c r="S13" s="273"/>
      <c r="T13" s="238" t="str">
        <f t="shared" si="5"/>
        <v>3,40</v>
      </c>
      <c r="U13" s="270" t="str">
        <f t="shared" si="9"/>
        <v>207</v>
      </c>
    </row>
    <row r="14" spans="1:21" ht="17.100000000000001" customHeight="1" x14ac:dyDescent="0.25">
      <c r="A14" s="1" t="str">
        <f>Minták!W13</f>
        <v>9/IV-Msdxtl</v>
      </c>
      <c r="B14" s="1"/>
      <c r="C14" s="4">
        <f t="shared" si="4"/>
        <v>3.8000000000000007</v>
      </c>
      <c r="D14" s="223" t="s">
        <v>44</v>
      </c>
      <c r="E14" s="20">
        <v>1.325</v>
      </c>
      <c r="F14" s="4">
        <v>100</v>
      </c>
      <c r="G14" s="1"/>
      <c r="H14" s="267">
        <f t="shared" si="0"/>
        <v>3.8000000000000007</v>
      </c>
      <c r="I14" t="str">
        <f t="shared" si="3"/>
        <v>3,80</v>
      </c>
      <c r="J14" s="267">
        <f t="shared" si="1"/>
        <v>231.80000000000004</v>
      </c>
      <c r="K14" t="str">
        <f t="shared" si="2"/>
        <v>232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38"/>
      <c r="P14" s="238">
        <f t="shared" si="6"/>
        <v>3.5000000000000004</v>
      </c>
      <c r="Q14" s="238" t="str">
        <f t="shared" si="7"/>
        <v>-</v>
      </c>
      <c r="R14" s="238">
        <f t="shared" si="8"/>
        <v>100</v>
      </c>
      <c r="S14" s="273"/>
      <c r="T14" s="238" t="str">
        <f t="shared" si="5"/>
        <v>3,50</v>
      </c>
      <c r="U14" s="270" t="str">
        <f t="shared" si="9"/>
        <v>214</v>
      </c>
    </row>
    <row r="15" spans="1:21" ht="17.100000000000001" customHeight="1" x14ac:dyDescent="0.25">
      <c r="A15" s="1" t="str">
        <f>Minták!W14</f>
        <v>10/IV-Qoldnt</v>
      </c>
      <c r="B15" s="1"/>
      <c r="C15" s="4">
        <f t="shared" si="4"/>
        <v>3.9000000000000008</v>
      </c>
      <c r="D15" s="223" t="s">
        <v>44</v>
      </c>
      <c r="E15" s="1"/>
      <c r="F15" s="4">
        <v>100</v>
      </c>
      <c r="G15" s="1"/>
      <c r="H15" s="267">
        <f t="shared" si="0"/>
        <v>3.9000000000000004</v>
      </c>
      <c r="I15" t="str">
        <f t="shared" si="3"/>
        <v>3,90</v>
      </c>
      <c r="J15" s="267">
        <f t="shared" si="1"/>
        <v>237.90000000000003</v>
      </c>
      <c r="K15" t="str">
        <f t="shared" ref="K15:K21" si="10">IFERROR(IF(J15&lt;VALUE(C$29),CONCATENATE("&lt;",C$29),IF(J15&lt;10,FIXED(J15,2),IF(J15&lt;100,FIXED(J15,1),IF(J15&lt;1000,FIXED(J15,0),FIXED(J15,-1))))),"-")</f>
        <v>238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38"/>
      <c r="P15" s="238">
        <f t="shared" si="6"/>
        <v>3.6000000000000005</v>
      </c>
      <c r="Q15" s="238" t="str">
        <f t="shared" si="7"/>
        <v>-</v>
      </c>
      <c r="R15" s="238">
        <f t="shared" si="8"/>
        <v>100</v>
      </c>
      <c r="S15" s="273"/>
      <c r="T15" s="238" t="str">
        <f t="shared" si="5"/>
        <v>3,60</v>
      </c>
      <c r="U15" s="270" t="str">
        <f t="shared" si="9"/>
        <v>220</v>
      </c>
    </row>
    <row r="16" spans="1:21" ht="17.100000000000001" customHeight="1" x14ac:dyDescent="0.25">
      <c r="A16" s="1" t="str">
        <f>Minták!W15</f>
        <v>11/IV-Qnvptf</v>
      </c>
      <c r="B16" s="1"/>
      <c r="C16" s="4">
        <f t="shared" si="4"/>
        <v>4.0000000000000009</v>
      </c>
      <c r="D16" s="223" t="s">
        <v>44</v>
      </c>
      <c r="E16" s="1"/>
      <c r="F16" s="4">
        <v>100</v>
      </c>
      <c r="G16" s="1"/>
      <c r="H16" s="267">
        <f t="shared" si="0"/>
        <v>4.0000000000000009</v>
      </c>
      <c r="I16" t="str">
        <f t="shared" si="3"/>
        <v>4,00</v>
      </c>
      <c r="J16" s="267">
        <f t="shared" si="1"/>
        <v>244.00000000000006</v>
      </c>
      <c r="K16" t="str">
        <f t="shared" si="10"/>
        <v>244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38"/>
      <c r="P16" s="238">
        <f t="shared" si="6"/>
        <v>3.7000000000000006</v>
      </c>
      <c r="Q16" s="238" t="str">
        <f t="shared" si="7"/>
        <v>-</v>
      </c>
      <c r="R16" s="238">
        <f t="shared" si="8"/>
        <v>100</v>
      </c>
      <c r="S16" s="273"/>
      <c r="T16" s="238" t="str">
        <f t="shared" si="5"/>
        <v>3,70</v>
      </c>
      <c r="U16" s="270" t="str">
        <f t="shared" si="9"/>
        <v>226</v>
      </c>
    </row>
    <row r="17" spans="1:21" ht="17.100000000000001" customHeight="1" x14ac:dyDescent="0.25">
      <c r="A17" s="1" t="str">
        <f>Minták!W16</f>
        <v>12/IV-Lebdoq</v>
      </c>
      <c r="B17" s="1"/>
      <c r="C17" s="4">
        <f t="shared" si="4"/>
        <v>4.1000000000000005</v>
      </c>
      <c r="D17" s="223" t="s">
        <v>44</v>
      </c>
      <c r="E17" s="1"/>
      <c r="F17" s="4">
        <v>100</v>
      </c>
      <c r="G17" s="1"/>
      <c r="H17" s="267">
        <f t="shared" si="0"/>
        <v>4.1000000000000005</v>
      </c>
      <c r="I17" t="str">
        <f t="shared" si="3"/>
        <v>4,10</v>
      </c>
      <c r="J17" s="267">
        <f t="shared" si="1"/>
        <v>250.10000000000002</v>
      </c>
      <c r="K17" t="str">
        <f t="shared" si="10"/>
        <v>250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38"/>
      <c r="P17" s="238">
        <f t="shared" si="6"/>
        <v>3.8000000000000007</v>
      </c>
      <c r="Q17" s="238" t="str">
        <f t="shared" si="7"/>
        <v>-</v>
      </c>
      <c r="R17" s="238">
        <f t="shared" si="8"/>
        <v>100</v>
      </c>
      <c r="S17" s="273"/>
      <c r="T17" s="238" t="str">
        <f t="shared" si="5"/>
        <v>3,80</v>
      </c>
      <c r="U17" s="270" t="str">
        <f t="shared" si="9"/>
        <v>232</v>
      </c>
    </row>
    <row r="18" spans="1:21" ht="17.100000000000001" customHeight="1" x14ac:dyDescent="0.25">
      <c r="A18" s="1" t="str">
        <f>Minták!W17</f>
        <v>13/IV-Askfua</v>
      </c>
      <c r="B18" s="1"/>
      <c r="C18" s="4">
        <f t="shared" si="4"/>
        <v>4.2</v>
      </c>
      <c r="D18" s="223" t="s">
        <v>44</v>
      </c>
      <c r="E18" s="1"/>
      <c r="F18" s="4">
        <v>100</v>
      </c>
      <c r="G18" s="1"/>
      <c r="H18" s="267">
        <f t="shared" si="0"/>
        <v>4.2</v>
      </c>
      <c r="I18" t="str">
        <f t="shared" si="3"/>
        <v>4,20</v>
      </c>
      <c r="J18" s="267">
        <f t="shared" ref="J18:J20" si="11">H18*61</f>
        <v>256.2</v>
      </c>
      <c r="K18" t="str">
        <f t="shared" si="10"/>
        <v>256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38"/>
      <c r="P18" s="238">
        <f t="shared" si="6"/>
        <v>3.9000000000000008</v>
      </c>
      <c r="Q18" s="238" t="str">
        <f t="shared" si="7"/>
        <v>-</v>
      </c>
      <c r="R18" s="238">
        <f t="shared" si="8"/>
        <v>100</v>
      </c>
      <c r="S18" s="273"/>
      <c r="T18" s="238" t="str">
        <f t="shared" si="5"/>
        <v>3,90</v>
      </c>
      <c r="U18" s="270" t="str">
        <f t="shared" si="9"/>
        <v>238</v>
      </c>
    </row>
    <row r="19" spans="1:21" ht="17.100000000000001" customHeight="1" x14ac:dyDescent="0.25">
      <c r="A19" s="1" t="str">
        <f>Minták!W18</f>
        <v>14/IV-Mcsjny</v>
      </c>
      <c r="B19" s="1"/>
      <c r="C19" s="4">
        <f t="shared" si="4"/>
        <v>4.3</v>
      </c>
      <c r="D19" s="223" t="s">
        <v>44</v>
      </c>
      <c r="E19" s="1"/>
      <c r="F19" s="4">
        <v>100</v>
      </c>
      <c r="G19" s="1"/>
      <c r="H19" s="267">
        <f t="shared" si="0"/>
        <v>4.3</v>
      </c>
      <c r="I19" t="str">
        <f t="shared" si="3"/>
        <v>4,30</v>
      </c>
      <c r="J19" s="267">
        <f t="shared" si="11"/>
        <v>262.3</v>
      </c>
      <c r="K19" t="str">
        <f t="shared" si="10"/>
        <v>262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38"/>
      <c r="P19" s="238">
        <f t="shared" si="6"/>
        <v>4.0000000000000009</v>
      </c>
      <c r="Q19" s="238" t="str">
        <f t="shared" si="7"/>
        <v>-</v>
      </c>
      <c r="R19" s="238">
        <f t="shared" si="8"/>
        <v>100</v>
      </c>
      <c r="S19" s="273"/>
      <c r="T19" s="238" t="str">
        <f t="shared" si="5"/>
        <v>4,00</v>
      </c>
      <c r="U19" s="270" t="str">
        <f t="shared" si="9"/>
        <v>244</v>
      </c>
    </row>
    <row r="20" spans="1:21" ht="17.100000000000001" customHeight="1" x14ac:dyDescent="0.25">
      <c r="A20" s="1" t="str">
        <f>Minták!W19</f>
        <v>15/IV-Rskdom</v>
      </c>
      <c r="B20" s="1"/>
      <c r="C20" s="4">
        <f t="shared" si="4"/>
        <v>4.3999999999999995</v>
      </c>
      <c r="D20" s="223" t="s">
        <v>44</v>
      </c>
      <c r="E20" s="1"/>
      <c r="F20" s="4">
        <v>100</v>
      </c>
      <c r="G20" s="1"/>
      <c r="H20" s="267">
        <f t="shared" si="0"/>
        <v>4.3999999999999995</v>
      </c>
      <c r="I20" t="str">
        <f t="shared" si="3"/>
        <v>4,40</v>
      </c>
      <c r="J20" s="267">
        <f t="shared" si="11"/>
        <v>268.39999999999998</v>
      </c>
      <c r="K20" t="str">
        <f t="shared" si="10"/>
        <v>268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38"/>
      <c r="P20" s="238">
        <f t="shared" si="6"/>
        <v>4.1000000000000005</v>
      </c>
      <c r="Q20" s="238" t="str">
        <f t="shared" si="7"/>
        <v>-</v>
      </c>
      <c r="R20" s="238">
        <f t="shared" si="8"/>
        <v>100</v>
      </c>
      <c r="S20" s="273"/>
      <c r="T20" s="238" t="str">
        <f t="shared" si="5"/>
        <v>4,10</v>
      </c>
      <c r="U20" s="270" t="str">
        <f t="shared" si="9"/>
        <v>250</v>
      </c>
    </row>
    <row r="21" spans="1:21" ht="17.100000000000001" customHeight="1" x14ac:dyDescent="0.25">
      <c r="A21" s="1" t="str">
        <f>Minták!W20</f>
        <v>16/IV-Jyhjzbmb</v>
      </c>
      <c r="B21" s="1"/>
      <c r="C21" s="4">
        <f t="shared" si="4"/>
        <v>4.4999999999999991</v>
      </c>
      <c r="D21" s="223" t="s">
        <v>44</v>
      </c>
      <c r="E21" s="1"/>
      <c r="F21" s="4">
        <v>100</v>
      </c>
      <c r="G21" s="1"/>
      <c r="H21" s="267">
        <f t="shared" si="0"/>
        <v>4.4999999999999991</v>
      </c>
      <c r="I21" t="str">
        <f t="shared" si="3"/>
        <v>4,50</v>
      </c>
      <c r="J21" s="267">
        <f>H21*61</f>
        <v>274.49999999999994</v>
      </c>
      <c r="K21" t="str">
        <f t="shared" si="10"/>
        <v>275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38"/>
      <c r="P21" s="238">
        <f t="shared" si="6"/>
        <v>4.2</v>
      </c>
      <c r="Q21" s="238" t="str">
        <f t="shared" si="7"/>
        <v>-</v>
      </c>
      <c r="R21" s="238">
        <f t="shared" si="8"/>
        <v>100</v>
      </c>
      <c r="S21" s="273"/>
      <c r="T21" s="238" t="str">
        <f t="shared" si="5"/>
        <v>4,20</v>
      </c>
      <c r="U21" s="270" t="str">
        <f t="shared" si="9"/>
        <v>256</v>
      </c>
    </row>
    <row r="22" spans="1:21" ht="17.100000000000001" customHeight="1" x14ac:dyDescent="0.25">
      <c r="A22" s="10" t="s">
        <v>44</v>
      </c>
      <c r="B22" s="1"/>
      <c r="C22" s="8" t="s">
        <v>44</v>
      </c>
      <c r="D22" s="223" t="s">
        <v>44</v>
      </c>
      <c r="E22" s="1"/>
      <c r="F22" s="8" t="s">
        <v>44</v>
      </c>
      <c r="G22" s="1"/>
      <c r="H22" s="310" t="s">
        <v>44</v>
      </c>
      <c r="I22" s="311" t="s">
        <v>44</v>
      </c>
      <c r="J22" s="311"/>
      <c r="K22" s="311"/>
      <c r="L22" s="237" t="str">
        <f>IF(Minták!D18="","",Minták!D18)</f>
        <v>14/IV</v>
      </c>
      <c r="M22" s="244"/>
      <c r="N22" s="239" t="str">
        <f>IF(Minták!H18="","",Minták!H18)</f>
        <v>Mcsjny</v>
      </c>
      <c r="O22" s="238"/>
      <c r="P22" s="238">
        <f t="shared" si="6"/>
        <v>4.3</v>
      </c>
      <c r="Q22" s="238" t="str">
        <f t="shared" si="7"/>
        <v>-</v>
      </c>
      <c r="R22" s="238">
        <f t="shared" si="8"/>
        <v>100</v>
      </c>
      <c r="S22" s="273"/>
      <c r="T22" s="238" t="str">
        <f t="shared" si="5"/>
        <v>4,30</v>
      </c>
      <c r="U22" s="270" t="str">
        <f t="shared" si="9"/>
        <v>262</v>
      </c>
    </row>
    <row r="23" spans="1:21" ht="17.100000000000001" customHeight="1" x14ac:dyDescent="0.25">
      <c r="L23" s="237" t="str">
        <f>IF(Minták!D19="","",Minták!D19)</f>
        <v>15/IV</v>
      </c>
      <c r="M23" s="244"/>
      <c r="N23" s="239" t="str">
        <f>IF(Minták!H19="","",Minták!H19)</f>
        <v>Rskdom</v>
      </c>
      <c r="O23" s="238"/>
      <c r="P23" s="238">
        <f>IF($A20="-","-",C20)</f>
        <v>4.3999999999999995</v>
      </c>
      <c r="Q23" s="238" t="str">
        <f t="shared" si="7"/>
        <v>-</v>
      </c>
      <c r="R23" s="238">
        <f t="shared" si="8"/>
        <v>100</v>
      </c>
      <c r="S23" s="273"/>
      <c r="T23" s="238" t="str">
        <f t="shared" si="5"/>
        <v>4,40</v>
      </c>
      <c r="U23" s="270" t="str">
        <f t="shared" si="9"/>
        <v>268</v>
      </c>
    </row>
    <row r="24" spans="1:21" ht="17.100000000000001" customHeight="1" x14ac:dyDescent="0.25">
      <c r="L24" s="237" t="str">
        <f>IF(Minták!D20="","",Minták!D20)</f>
        <v>16/IV</v>
      </c>
      <c r="M24" s="249"/>
      <c r="N24" s="239" t="str">
        <f>IF(Minták!H20="","",Minták!H20)</f>
        <v>Jyhjzbmb</v>
      </c>
      <c r="O24" s="238"/>
      <c r="P24" s="238">
        <f>IF($A21="-","-",C21)</f>
        <v>4.4999999999999991</v>
      </c>
      <c r="Q24" s="238" t="str">
        <f t="shared" si="7"/>
        <v>-</v>
      </c>
      <c r="R24" s="238">
        <f t="shared" si="8"/>
        <v>100</v>
      </c>
      <c r="S24" s="273"/>
      <c r="T24" s="238" t="str">
        <f t="shared" si="5"/>
        <v>4,50</v>
      </c>
      <c r="U24" s="270" t="str">
        <f t="shared" si="9"/>
        <v>275</v>
      </c>
    </row>
    <row r="25" spans="1:21" ht="17.100000000000001" customHeight="1" x14ac:dyDescent="0.25">
      <c r="L25" s="253"/>
      <c r="M25" s="249"/>
      <c r="N25" s="273"/>
      <c r="O25" s="238"/>
      <c r="P25" s="238"/>
      <c r="Q25" s="238"/>
      <c r="R25" s="238"/>
      <c r="S25" s="273"/>
      <c r="T25" s="265"/>
      <c r="U25" s="272"/>
    </row>
    <row r="26" spans="1:21" ht="17.100000000000001" customHeight="1" thickBot="1" x14ac:dyDescent="0.3">
      <c r="L26" s="254"/>
      <c r="M26" s="255"/>
      <c r="N26" s="274"/>
      <c r="O26" s="258"/>
      <c r="P26" s="258"/>
      <c r="Q26" s="258"/>
      <c r="R26" s="258"/>
      <c r="S26" s="274"/>
      <c r="T26" s="258"/>
      <c r="U26" s="290"/>
    </row>
    <row r="27" spans="1:21" ht="17.100000000000001" customHeight="1" x14ac:dyDescent="0.25">
      <c r="A27" t="s">
        <v>24</v>
      </c>
      <c r="D27" t="s">
        <v>85</v>
      </c>
      <c r="F27" t="s">
        <v>87</v>
      </c>
    </row>
    <row r="28" spans="1:21" ht="17.100000000000001" customHeight="1" x14ac:dyDescent="0.25">
      <c r="A28" s="9" t="s">
        <v>44</v>
      </c>
      <c r="B28" t="s">
        <v>170</v>
      </c>
      <c r="C28" t="s">
        <v>172</v>
      </c>
      <c r="D28" s="1" t="str">
        <f>Minták!DW15</f>
        <v>-</v>
      </c>
      <c r="F28" s="1" t="str">
        <f>Minták!DX15</f>
        <v>-</v>
      </c>
      <c r="R28" s="15" t="s">
        <v>38</v>
      </c>
    </row>
    <row r="29" spans="1:21" ht="17.100000000000001" customHeight="1" x14ac:dyDescent="0.25">
      <c r="A29" t="s">
        <v>54</v>
      </c>
      <c r="B29" s="260" t="str">
        <f>Minták!DU15</f>
        <v>0,10</v>
      </c>
      <c r="C29" s="260" t="str">
        <f>Minták!DU16</f>
        <v>6,10</v>
      </c>
      <c r="D29" s="1" t="str">
        <f>Minták!DY15</f>
        <v>-</v>
      </c>
      <c r="F29" s="1" t="str">
        <f>Minták!DZ15</f>
        <v>-</v>
      </c>
    </row>
    <row r="30" spans="1:21" ht="17.100000000000001" customHeight="1" x14ac:dyDescent="0.25">
      <c r="A30" t="s">
        <v>55</v>
      </c>
      <c r="B30" s="1" t="str">
        <f>Minták!DV15</f>
        <v>képlet</v>
      </c>
      <c r="C30" s="260" t="str">
        <f>Minták!DV16</f>
        <v>képlet</v>
      </c>
      <c r="D30" s="1" t="str">
        <f>Minták!EA15</f>
        <v>-</v>
      </c>
      <c r="F30" s="1" t="str">
        <f>Minták!EB15</f>
        <v>-</v>
      </c>
    </row>
    <row r="31" spans="1:21" ht="17.100000000000001" customHeight="1" x14ac:dyDescent="0.25">
      <c r="A31" t="s">
        <v>135</v>
      </c>
      <c r="B31" s="1">
        <f>Minták!DT15</f>
        <v>100</v>
      </c>
    </row>
    <row r="32" spans="1:21" ht="17.100000000000001" customHeight="1" x14ac:dyDescent="0.25"/>
    <row r="33" ht="17.100000000000001" customHeight="1" x14ac:dyDescent="0.25"/>
    <row r="34" ht="17.100000000000001" customHeight="1" x14ac:dyDescent="0.25"/>
  </sheetData>
  <sheetProtection algorithmName="SHA-512" hashValue="frngX+HYB7WglkXq1psPoHmOwtMR4s+i4Sl/1rqqWnHujiaQUYdDQw3Woo+SmypgK07d/6+6tPWpmeocMI9qPA==" saltValue="T/uRodLnbKlFwplB019yLA==" spinCount="100000" sheet="1" objects="1" scenarios="1"/>
  <mergeCells count="15">
    <mergeCell ref="R6:R8"/>
    <mergeCell ref="S6:S8"/>
    <mergeCell ref="A1:H2"/>
    <mergeCell ref="L1:M4"/>
    <mergeCell ref="N1:T4"/>
    <mergeCell ref="A3:A4"/>
    <mergeCell ref="B3:E4"/>
    <mergeCell ref="F3:F4"/>
    <mergeCell ref="G3:G4"/>
    <mergeCell ref="H3:H4"/>
    <mergeCell ref="J3:J4"/>
    <mergeCell ref="L6:L8"/>
    <mergeCell ref="M6:M8"/>
    <mergeCell ref="N6:N8"/>
    <mergeCell ref="O6:Q7"/>
  </mergeCells>
  <pageMargins left="0.7" right="0.7" top="0.75" bottom="0.75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unka11"/>
  <dimension ref="A1:U39"/>
  <sheetViews>
    <sheetView zoomScale="99" zoomScaleNormal="99" workbookViewId="0">
      <selection activeCell="E7" sqref="E7:E22"/>
    </sheetView>
  </sheetViews>
  <sheetFormatPr defaultColWidth="9.140625" defaultRowHeight="18.399999999999999" customHeight="1" x14ac:dyDescent="0.25"/>
  <cols>
    <col min="1" max="1" width="33" customWidth="1"/>
    <col min="2" max="2" width="13.140625" customWidth="1"/>
    <col min="3" max="3" width="11.7109375" customWidth="1"/>
    <col min="4" max="4" width="15" customWidth="1"/>
    <col min="5" max="5" width="12.140625" customWidth="1"/>
    <col min="6" max="6" width="11.85546875" customWidth="1"/>
    <col min="7" max="7" width="12.28515625" customWidth="1"/>
    <col min="8" max="8" width="14.140625" customWidth="1"/>
    <col min="9" max="9" width="10.28515625" bestFit="1" customWidth="1"/>
    <col min="12" max="12" width="9.140625" style="82"/>
    <col min="13" max="13" width="13.85546875" style="82" customWidth="1"/>
    <col min="14" max="14" width="27.5703125" style="82" customWidth="1"/>
    <col min="15" max="16" width="10.7109375" style="82" customWidth="1"/>
    <col min="17" max="17" width="9.7109375" style="82" customWidth="1"/>
    <col min="18" max="18" width="10.7109375" style="82" customWidth="1"/>
    <col min="19" max="20" width="9.7109375" style="82" customWidth="1"/>
    <col min="21" max="21" width="18.5703125" style="82" customWidth="1"/>
  </cols>
  <sheetData>
    <row r="1" spans="1:21" ht="18.399999999999999" customHeight="1" thickBot="1" x14ac:dyDescent="0.3">
      <c r="A1" s="733" t="s">
        <v>178</v>
      </c>
      <c r="B1" s="733"/>
      <c r="C1" s="733"/>
      <c r="D1" s="733"/>
      <c r="E1" s="733"/>
      <c r="F1" s="733"/>
      <c r="G1" s="733"/>
      <c r="H1" s="733"/>
      <c r="L1" s="438" t="s">
        <v>319</v>
      </c>
      <c r="M1" s="690"/>
      <c r="N1" s="695" t="s">
        <v>353</v>
      </c>
      <c r="O1" s="742"/>
      <c r="P1" s="742"/>
      <c r="Q1" s="742"/>
      <c r="R1" s="742"/>
      <c r="S1" s="742"/>
      <c r="T1" s="743"/>
      <c r="U1" s="219" t="s">
        <v>343</v>
      </c>
    </row>
    <row r="2" spans="1:21" ht="18.399999999999999" customHeight="1" thickBot="1" x14ac:dyDescent="0.3">
      <c r="A2" s="733"/>
      <c r="B2" s="733"/>
      <c r="C2" s="733"/>
      <c r="D2" s="733"/>
      <c r="E2" s="733"/>
      <c r="F2" s="733"/>
      <c r="G2" s="733"/>
      <c r="H2" s="733"/>
      <c r="L2" s="691"/>
      <c r="M2" s="692"/>
      <c r="N2" s="744"/>
      <c r="O2" s="745"/>
      <c r="P2" s="745"/>
      <c r="Q2" s="745"/>
      <c r="R2" s="745"/>
      <c r="S2" s="745"/>
      <c r="T2" s="746"/>
      <c r="U2" s="220" t="s">
        <v>320</v>
      </c>
    </row>
    <row r="3" spans="1:21" ht="18.399999999999999" customHeight="1" x14ac:dyDescent="0.25">
      <c r="A3" s="734" t="s">
        <v>3</v>
      </c>
      <c r="B3" s="750" t="s">
        <v>179</v>
      </c>
      <c r="C3" s="750" t="s">
        <v>183</v>
      </c>
      <c r="D3" s="752"/>
      <c r="E3" s="750" t="s">
        <v>184</v>
      </c>
      <c r="F3" s="752"/>
      <c r="G3" s="750" t="s">
        <v>185</v>
      </c>
      <c r="H3" s="752"/>
      <c r="L3" s="691"/>
      <c r="M3" s="692"/>
      <c r="N3" s="744"/>
      <c r="O3" s="745"/>
      <c r="P3" s="745"/>
      <c r="Q3" s="745"/>
      <c r="R3" s="745"/>
      <c r="S3" s="745"/>
      <c r="T3" s="746"/>
      <c r="U3" s="220" t="s">
        <v>706</v>
      </c>
    </row>
    <row r="4" spans="1:21" ht="18.399999999999999" customHeight="1" thickBot="1" x14ac:dyDescent="0.3">
      <c r="A4" s="735"/>
      <c r="B4" s="768"/>
      <c r="C4" s="753"/>
      <c r="D4" s="755"/>
      <c r="E4" s="753"/>
      <c r="F4" s="755"/>
      <c r="G4" s="753"/>
      <c r="H4" s="755"/>
      <c r="L4" s="693"/>
      <c r="M4" s="694"/>
      <c r="N4" s="747"/>
      <c r="O4" s="748"/>
      <c r="P4" s="748"/>
      <c r="Q4" s="748"/>
      <c r="R4" s="748"/>
      <c r="S4" s="748"/>
      <c r="T4" s="749"/>
      <c r="U4" s="221" t="s">
        <v>324</v>
      </c>
    </row>
    <row r="5" spans="1:21" ht="17.100000000000001" customHeight="1" thickBot="1" x14ac:dyDescent="0.3">
      <c r="A5" s="295"/>
      <c r="B5" s="753"/>
      <c r="C5" s="306" t="s">
        <v>182</v>
      </c>
      <c r="D5" s="298" t="s">
        <v>62</v>
      </c>
      <c r="E5" s="306" t="s">
        <v>182</v>
      </c>
      <c r="F5" s="298" t="s">
        <v>62</v>
      </c>
      <c r="G5" s="306" t="s">
        <v>182</v>
      </c>
      <c r="H5" s="298" t="s">
        <v>62</v>
      </c>
      <c r="I5" s="312" t="s">
        <v>186</v>
      </c>
      <c r="J5" s="312" t="s">
        <v>187</v>
      </c>
      <c r="K5" s="312" t="s">
        <v>188</v>
      </c>
    </row>
    <row r="6" spans="1:21" ht="17.100000000000001" customHeight="1" x14ac:dyDescent="0.25">
      <c r="A6" s="1" t="str">
        <f>Minták!W5</f>
        <v>1/IV-Nhhlz</v>
      </c>
      <c r="B6" s="769" t="s">
        <v>180</v>
      </c>
      <c r="C6" s="13">
        <v>6</v>
      </c>
      <c r="D6" s="267">
        <f t="shared" ref="D6:D13" si="0">B$13*C6*20</f>
        <v>120</v>
      </c>
      <c r="E6" s="13">
        <v>3</v>
      </c>
      <c r="F6" s="267">
        <f t="shared" ref="F6:F11" si="1">(E6*$B$13)*14.294</f>
        <v>42.882000000000005</v>
      </c>
      <c r="G6" s="262">
        <f t="shared" ref="G6:G15" si="2">C6-E6</f>
        <v>3</v>
      </c>
      <c r="H6" s="267">
        <f t="shared" ref="H6:H17" si="3">(G6*$B$13)*8.67</f>
        <v>26.009999999999998</v>
      </c>
      <c r="I6" t="str">
        <f>IFERROR(IF(D6&lt;VALUE(B$33),CONCATENATE("&lt;",B$33),IF(D6&lt;10,FIXED(D6,2),IF(D6&lt;100,FIXED(D6,1),IF(D6&lt;1000,FIXED(D6,0),FIXED(D6,-1))))),"-")</f>
        <v>120</v>
      </c>
      <c r="J6" t="str">
        <f>IFERROR(IF(F6&lt;VALUE(C$33),CONCATENATE("&lt;",C$33),IF(F6&lt;10,FIXED(F6,2),IF(F6&lt;100,FIXED(F6,1),IF(F6&lt;1000,FIXED(F6,0),FIXED(F6,-1))))),"-")</f>
        <v>42,9</v>
      </c>
      <c r="K6" t="str">
        <f>IFERROR(IF(H6&lt;VALUE(D$33),CONCATENATE("&lt;",D$33),IF(H6&lt;10,FIXED(H6,2),IF(H6&lt;100,FIXED(H6,1),IF(H6&lt;1000,FIXED(H6,0),FIXED(H6,-1))))),"-")</f>
        <v>26,0</v>
      </c>
      <c r="L6" s="704" t="s">
        <v>25</v>
      </c>
      <c r="M6" s="704" t="s">
        <v>26</v>
      </c>
      <c r="N6" s="707" t="s">
        <v>27</v>
      </c>
      <c r="O6" s="704" t="s">
        <v>190</v>
      </c>
      <c r="P6" s="730" t="s">
        <v>193</v>
      </c>
      <c r="Q6" s="765"/>
      <c r="R6" s="730" t="s">
        <v>255</v>
      </c>
      <c r="S6" s="765"/>
      <c r="T6" s="222" t="s">
        <v>256</v>
      </c>
      <c r="U6" s="704" t="s">
        <v>32</v>
      </c>
    </row>
    <row r="7" spans="1:21" ht="17.100000000000001" customHeight="1" x14ac:dyDescent="0.25">
      <c r="A7" s="1" t="str">
        <f>Minták!W6</f>
        <v>2/IV-ADATOT BEÍRNI</v>
      </c>
      <c r="B7" s="770"/>
      <c r="C7" s="14">
        <f>C6+0.1</f>
        <v>6.1</v>
      </c>
      <c r="D7" s="267">
        <f t="shared" si="0"/>
        <v>122</v>
      </c>
      <c r="E7" s="14">
        <f>E6+0.05</f>
        <v>3.05</v>
      </c>
      <c r="F7" s="267">
        <f t="shared" si="1"/>
        <v>43.596699999999998</v>
      </c>
      <c r="G7" s="262">
        <f t="shared" si="2"/>
        <v>3.05</v>
      </c>
      <c r="H7" s="267">
        <f t="shared" si="3"/>
        <v>26.443499999999997</v>
      </c>
      <c r="I7" t="str">
        <f t="shared" ref="I7:I21" si="4">IFERROR(IF(D7&lt;VALUE(B$33),CONCATENATE("&lt;",B$33),IF(D7&lt;10,FIXED(D7,2),IF(D7&lt;100,FIXED(D7,1),IF(D7&lt;1000,FIXED(D7,0),FIXED(D7,-1))))),"-")</f>
        <v>122</v>
      </c>
      <c r="J7" t="str">
        <f t="shared" ref="J7:J21" si="5">IFERROR(IF(F7&lt;VALUE(C$33),CONCATENATE("&lt;",C$33),IF(F7&lt;10,FIXED(F7,2),IF(F7&lt;100,FIXED(F7,1),IF(F7&lt;1000,FIXED(F7,0),FIXED(F7,-1))))),"-")</f>
        <v>43,6</v>
      </c>
      <c r="K7" t="str">
        <f t="shared" ref="K7:K21" si="6">IFERROR(IF(H7&lt;VALUE(D$33),CONCATENATE("&lt;",D$33),IF(H7&lt;10,FIXED(H7,2),IF(H7&lt;100,FIXED(H7,1),IF(H7&lt;1000,FIXED(H7,0),FIXED(H7,-1))))),"-")</f>
        <v>26,4</v>
      </c>
      <c r="L7" s="705"/>
      <c r="M7" s="705"/>
      <c r="N7" s="708"/>
      <c r="O7" s="705"/>
      <c r="P7" s="766" t="s">
        <v>202</v>
      </c>
      <c r="Q7" s="767"/>
      <c r="R7" s="766" t="s">
        <v>204</v>
      </c>
      <c r="S7" s="767"/>
      <c r="T7" s="313" t="s">
        <v>191</v>
      </c>
      <c r="U7" s="705"/>
    </row>
    <row r="8" spans="1:21" ht="17.100000000000001" customHeight="1" thickBot="1" x14ac:dyDescent="0.3">
      <c r="A8" s="1" t="str">
        <f>Minták!W7</f>
        <v>3/KIV-ADATOT BEÍRNI</v>
      </c>
      <c r="B8" s="771"/>
      <c r="C8" s="14">
        <f t="shared" ref="C8:C22" si="7">C7+0.1</f>
        <v>6.1999999999999993</v>
      </c>
      <c r="D8" s="267">
        <f t="shared" si="0"/>
        <v>123.99999999999999</v>
      </c>
      <c r="E8" s="14">
        <f t="shared" ref="E8:E22" si="8">E7+0.05</f>
        <v>3.0999999999999996</v>
      </c>
      <c r="F8" s="267">
        <f t="shared" si="1"/>
        <v>44.311399999999999</v>
      </c>
      <c r="G8" s="262">
        <f t="shared" si="2"/>
        <v>3.0999999999999996</v>
      </c>
      <c r="H8" s="267">
        <f t="shared" si="3"/>
        <v>26.876999999999995</v>
      </c>
      <c r="I8" t="str">
        <f t="shared" si="4"/>
        <v>124</v>
      </c>
      <c r="J8" t="str">
        <f t="shared" si="5"/>
        <v>44,3</v>
      </c>
      <c r="K8" t="str">
        <f t="shared" si="6"/>
        <v>26,9</v>
      </c>
      <c r="L8" s="764"/>
      <c r="M8" s="764"/>
      <c r="N8" s="774"/>
      <c r="O8" s="764"/>
      <c r="P8" s="314" t="s">
        <v>205</v>
      </c>
      <c r="Q8" s="315" t="s">
        <v>203</v>
      </c>
      <c r="R8" s="314" t="s">
        <v>205</v>
      </c>
      <c r="S8" s="315" t="s">
        <v>45</v>
      </c>
      <c r="T8" s="316" t="s">
        <v>192</v>
      </c>
      <c r="U8" s="764"/>
    </row>
    <row r="9" spans="1:21" ht="17.100000000000001" customHeight="1" x14ac:dyDescent="0.25">
      <c r="A9" s="1" t="str">
        <f>Minták!W8</f>
        <v>4/IV-Ebnxscqc</v>
      </c>
      <c r="B9" s="11">
        <v>10</v>
      </c>
      <c r="C9" s="14">
        <f t="shared" si="7"/>
        <v>6.2999999999999989</v>
      </c>
      <c r="D9" s="267">
        <f t="shared" si="0"/>
        <v>125.99999999999997</v>
      </c>
      <c r="E9" s="14">
        <f t="shared" si="8"/>
        <v>3.1499999999999995</v>
      </c>
      <c r="F9" s="267">
        <f t="shared" si="1"/>
        <v>45.026099999999992</v>
      </c>
      <c r="G9" s="262">
        <f t="shared" si="2"/>
        <v>3.1499999999999995</v>
      </c>
      <c r="H9" s="267">
        <f t="shared" si="3"/>
        <v>27.310499999999994</v>
      </c>
      <c r="I9" t="str">
        <f t="shared" si="4"/>
        <v>126</v>
      </c>
      <c r="J9" t="str">
        <f t="shared" si="5"/>
        <v>45,0</v>
      </c>
      <c r="K9" t="str">
        <f t="shared" si="6"/>
        <v>27,3</v>
      </c>
      <c r="L9" s="230" t="str">
        <f>IF(Minták!D5="","",Minták!D5)</f>
        <v>1/IV</v>
      </c>
      <c r="M9" s="263" t="str">
        <f>A28</f>
        <v>-</v>
      </c>
      <c r="N9" s="232" t="str">
        <f>IF(Minták!H5="","",Minták!H5)</f>
        <v>Nhhlz</v>
      </c>
      <c r="O9" s="317">
        <f>B13</f>
        <v>1</v>
      </c>
      <c r="P9" s="234">
        <f t="shared" ref="P9:P24" si="9">IF($A6="-","-",C6)</f>
        <v>6</v>
      </c>
      <c r="Q9" s="234" t="str">
        <f t="shared" ref="Q9:Q24" si="10">IF($A6="-","-",I6)</f>
        <v>120</v>
      </c>
      <c r="R9" s="234">
        <f t="shared" ref="R9:R24" si="11">IF($A6="-","-",E6)</f>
        <v>3</v>
      </c>
      <c r="S9" s="234" t="str">
        <f t="shared" ref="S9:S24" si="12">IF($A6="-","-",J6)</f>
        <v>42,9</v>
      </c>
      <c r="T9" s="234" t="str">
        <f t="shared" ref="T9:T24" si="13">IF($A6="-","-",K6)</f>
        <v>26,0</v>
      </c>
      <c r="U9" s="236"/>
    </row>
    <row r="10" spans="1:21" ht="17.100000000000001" customHeight="1" x14ac:dyDescent="0.25">
      <c r="A10" s="1" t="str">
        <f>Minták!W9</f>
        <v>5/IV-Ubqpva</v>
      </c>
      <c r="B10" s="772" t="s">
        <v>181</v>
      </c>
      <c r="C10" s="14">
        <f t="shared" si="7"/>
        <v>6.3999999999999986</v>
      </c>
      <c r="D10" s="267">
        <f t="shared" si="0"/>
        <v>127.99999999999997</v>
      </c>
      <c r="E10" s="14">
        <f t="shared" si="8"/>
        <v>3.1999999999999993</v>
      </c>
      <c r="F10" s="267">
        <f t="shared" si="1"/>
        <v>45.740799999999993</v>
      </c>
      <c r="G10" s="262">
        <f t="shared" si="2"/>
        <v>3.1999999999999993</v>
      </c>
      <c r="H10" s="267">
        <f t="shared" si="3"/>
        <v>27.743999999999993</v>
      </c>
      <c r="I10" t="str">
        <f t="shared" si="4"/>
        <v>128</v>
      </c>
      <c r="J10" t="str">
        <f t="shared" si="5"/>
        <v>45,7</v>
      </c>
      <c r="K10" t="str">
        <f t="shared" si="6"/>
        <v>27,7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38"/>
      <c r="P10" s="238">
        <f t="shared" si="9"/>
        <v>6.1</v>
      </c>
      <c r="Q10" s="238" t="str">
        <f t="shared" si="10"/>
        <v>122</v>
      </c>
      <c r="R10" s="238">
        <f t="shared" si="11"/>
        <v>3.05</v>
      </c>
      <c r="S10" s="238" t="str">
        <f t="shared" si="12"/>
        <v>43,6</v>
      </c>
      <c r="T10" s="238" t="str">
        <f t="shared" si="13"/>
        <v>26,4</v>
      </c>
      <c r="U10" s="243"/>
    </row>
    <row r="11" spans="1:21" ht="17.100000000000001" customHeight="1" x14ac:dyDescent="0.25">
      <c r="A11" s="1" t="str">
        <f>Minták!W10</f>
        <v>6/IV-Eouypz</v>
      </c>
      <c r="B11" s="773"/>
      <c r="C11" s="14">
        <f t="shared" si="7"/>
        <v>6.4999999999999982</v>
      </c>
      <c r="D11" s="267">
        <f t="shared" si="0"/>
        <v>129.99999999999997</v>
      </c>
      <c r="E11" s="14">
        <f t="shared" si="8"/>
        <v>3.2499999999999991</v>
      </c>
      <c r="F11" s="267">
        <f t="shared" si="1"/>
        <v>46.455499999999986</v>
      </c>
      <c r="G11" s="262">
        <f t="shared" si="2"/>
        <v>3.2499999999999991</v>
      </c>
      <c r="H11" s="267">
        <f t="shared" si="3"/>
        <v>28.177499999999991</v>
      </c>
      <c r="I11" t="str">
        <f t="shared" si="4"/>
        <v>130</v>
      </c>
      <c r="J11" t="str">
        <f t="shared" si="5"/>
        <v>46,5</v>
      </c>
      <c r="K11" t="str">
        <f t="shared" si="6"/>
        <v>28,2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73" t="s">
        <v>200</v>
      </c>
      <c r="P11" s="238">
        <f t="shared" si="9"/>
        <v>6.1999999999999993</v>
      </c>
      <c r="Q11" s="238" t="str">
        <f t="shared" si="10"/>
        <v>124</v>
      </c>
      <c r="R11" s="238">
        <f t="shared" si="11"/>
        <v>3.0999999999999996</v>
      </c>
      <c r="S11" s="238" t="str">
        <f t="shared" si="12"/>
        <v>44,3</v>
      </c>
      <c r="T11" s="238" t="str">
        <f t="shared" si="13"/>
        <v>26,9</v>
      </c>
      <c r="U11" s="243"/>
    </row>
    <row r="12" spans="1:21" ht="17.100000000000001" customHeight="1" x14ac:dyDescent="0.25">
      <c r="A12" s="1" t="str">
        <f>Minták!W11</f>
        <v>7/IV-Rkohqy</v>
      </c>
      <c r="B12" s="773"/>
      <c r="C12" s="14">
        <f t="shared" si="7"/>
        <v>6.5999999999999979</v>
      </c>
      <c r="D12" s="267">
        <f t="shared" si="0"/>
        <v>131.99999999999994</v>
      </c>
      <c r="E12" s="14">
        <f t="shared" si="8"/>
        <v>3.2999999999999989</v>
      </c>
      <c r="F12" s="267">
        <f t="shared" ref="F12:F22" si="14">(E12*$B$13)*14.294</f>
        <v>47.170199999999987</v>
      </c>
      <c r="G12" s="262">
        <f t="shared" si="2"/>
        <v>3.2999999999999989</v>
      </c>
      <c r="H12" s="267">
        <f t="shared" si="3"/>
        <v>28.61099999999999</v>
      </c>
      <c r="I12" t="str">
        <f t="shared" si="4"/>
        <v>132</v>
      </c>
      <c r="J12" t="str">
        <f t="shared" si="5"/>
        <v>47,2</v>
      </c>
      <c r="K12" t="str">
        <f t="shared" si="6"/>
        <v>28,6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16" t="s">
        <v>201</v>
      </c>
      <c r="P12" s="238">
        <f t="shared" si="9"/>
        <v>6.2999999999999989</v>
      </c>
      <c r="Q12" s="238" t="str">
        <f t="shared" si="10"/>
        <v>126</v>
      </c>
      <c r="R12" s="238">
        <f t="shared" si="11"/>
        <v>3.1499999999999995</v>
      </c>
      <c r="S12" s="238" t="str">
        <f t="shared" si="12"/>
        <v>45,0</v>
      </c>
      <c r="T12" s="238" t="str">
        <f t="shared" si="13"/>
        <v>27,3</v>
      </c>
      <c r="U12" s="243"/>
    </row>
    <row r="13" spans="1:21" ht="17.100000000000001" customHeight="1" x14ac:dyDescent="0.25">
      <c r="A13" s="1" t="str">
        <f>Minták!W12</f>
        <v>8/IV-Vxhhmc</v>
      </c>
      <c r="B13" s="300">
        <f>10/B9</f>
        <v>1</v>
      </c>
      <c r="C13" s="14">
        <f t="shared" si="7"/>
        <v>6.6999999999999975</v>
      </c>
      <c r="D13" s="267">
        <f t="shared" si="0"/>
        <v>133.99999999999994</v>
      </c>
      <c r="E13" s="14">
        <f t="shared" si="8"/>
        <v>3.3499999999999988</v>
      </c>
      <c r="F13" s="267">
        <f t="shared" si="14"/>
        <v>47.88489999999998</v>
      </c>
      <c r="G13" s="262">
        <f t="shared" si="2"/>
        <v>3.3499999999999988</v>
      </c>
      <c r="H13" s="267">
        <f t="shared" si="3"/>
        <v>29.044499999999989</v>
      </c>
      <c r="I13" t="str">
        <f t="shared" si="4"/>
        <v>134</v>
      </c>
      <c r="J13" t="str">
        <f t="shared" si="5"/>
        <v>47,9</v>
      </c>
      <c r="K13" t="str">
        <f t="shared" si="6"/>
        <v>29,0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38">
        <f>B9</f>
        <v>10</v>
      </c>
      <c r="P13" s="238">
        <f t="shared" si="9"/>
        <v>6.3999999999999986</v>
      </c>
      <c r="Q13" s="238" t="str">
        <f t="shared" si="10"/>
        <v>128</v>
      </c>
      <c r="R13" s="238">
        <f t="shared" si="11"/>
        <v>3.1999999999999993</v>
      </c>
      <c r="S13" s="238" t="str">
        <f t="shared" si="12"/>
        <v>45,7</v>
      </c>
      <c r="T13" s="238" t="str">
        <f t="shared" si="13"/>
        <v>27,7</v>
      </c>
      <c r="U13" s="243"/>
    </row>
    <row r="14" spans="1:21" ht="17.100000000000001" customHeight="1" x14ac:dyDescent="0.25">
      <c r="A14" s="1" t="str">
        <f>Minták!W13</f>
        <v>9/IV-Msdxtl</v>
      </c>
      <c r="B14" s="1"/>
      <c r="C14" s="14">
        <f t="shared" si="7"/>
        <v>6.7999999999999972</v>
      </c>
      <c r="D14" s="267">
        <f t="shared" ref="D14:D22" si="15">B$13*C14*20</f>
        <v>135.99999999999994</v>
      </c>
      <c r="E14" s="14">
        <f t="shared" si="8"/>
        <v>3.3999999999999986</v>
      </c>
      <c r="F14" s="267">
        <f t="shared" si="14"/>
        <v>48.599599999999981</v>
      </c>
      <c r="G14" s="262">
        <f t="shared" si="2"/>
        <v>3.3999999999999986</v>
      </c>
      <c r="H14" s="267">
        <f t="shared" si="3"/>
        <v>29.477999999999987</v>
      </c>
      <c r="I14" t="str">
        <f t="shared" si="4"/>
        <v>136</v>
      </c>
      <c r="J14" t="str">
        <f t="shared" si="5"/>
        <v>48,6</v>
      </c>
      <c r="K14" t="str">
        <f t="shared" si="6"/>
        <v>29,5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38"/>
      <c r="P14" s="238">
        <f t="shared" si="9"/>
        <v>6.4999999999999982</v>
      </c>
      <c r="Q14" s="238" t="str">
        <f t="shared" si="10"/>
        <v>130</v>
      </c>
      <c r="R14" s="238">
        <f t="shared" si="11"/>
        <v>3.2499999999999991</v>
      </c>
      <c r="S14" s="238" t="str">
        <f t="shared" si="12"/>
        <v>46,5</v>
      </c>
      <c r="T14" s="238" t="str">
        <f t="shared" si="13"/>
        <v>28,2</v>
      </c>
      <c r="U14" s="243"/>
    </row>
    <row r="15" spans="1:21" ht="17.100000000000001" customHeight="1" x14ac:dyDescent="0.25">
      <c r="A15" s="1" t="str">
        <f>Minták!W14</f>
        <v>10/IV-Qoldnt</v>
      </c>
      <c r="B15" s="1"/>
      <c r="C15" s="14">
        <f t="shared" si="7"/>
        <v>6.8999999999999968</v>
      </c>
      <c r="D15" s="267">
        <f t="shared" si="15"/>
        <v>137.99999999999994</v>
      </c>
      <c r="E15" s="14">
        <f t="shared" si="8"/>
        <v>3.4499999999999984</v>
      </c>
      <c r="F15" s="267">
        <f t="shared" si="14"/>
        <v>49.314299999999982</v>
      </c>
      <c r="G15" s="262">
        <f t="shared" si="2"/>
        <v>3.4499999999999984</v>
      </c>
      <c r="H15" s="267">
        <f t="shared" si="3"/>
        <v>29.911499999999986</v>
      </c>
      <c r="I15" t="str">
        <f t="shared" si="4"/>
        <v>138</v>
      </c>
      <c r="J15" t="str">
        <f t="shared" si="5"/>
        <v>49,3</v>
      </c>
      <c r="K15" t="str">
        <f t="shared" si="6"/>
        <v>29,9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38"/>
      <c r="P15" s="238">
        <f t="shared" si="9"/>
        <v>6.5999999999999979</v>
      </c>
      <c r="Q15" s="238" t="str">
        <f t="shared" si="10"/>
        <v>132</v>
      </c>
      <c r="R15" s="238">
        <f t="shared" si="11"/>
        <v>3.2999999999999989</v>
      </c>
      <c r="S15" s="238" t="str">
        <f t="shared" si="12"/>
        <v>47,2</v>
      </c>
      <c r="T15" s="238" t="str">
        <f t="shared" si="13"/>
        <v>28,6</v>
      </c>
      <c r="U15" s="243"/>
    </row>
    <row r="16" spans="1:21" ht="17.100000000000001" customHeight="1" x14ac:dyDescent="0.25">
      <c r="A16" s="1" t="str">
        <f>Minták!W15</f>
        <v>11/IV-Qnvptf</v>
      </c>
      <c r="B16" s="1"/>
      <c r="C16" s="14">
        <f t="shared" si="7"/>
        <v>6.9999999999999964</v>
      </c>
      <c r="D16" s="267">
        <f t="shared" si="15"/>
        <v>139.99999999999994</v>
      </c>
      <c r="E16" s="14">
        <f t="shared" si="8"/>
        <v>3.4999999999999982</v>
      </c>
      <c r="F16" s="267">
        <f t="shared" si="14"/>
        <v>50.028999999999975</v>
      </c>
      <c r="G16" s="262">
        <f t="shared" ref="G16:G21" si="16">C16-E16</f>
        <v>3.4999999999999982</v>
      </c>
      <c r="H16" s="267">
        <f t="shared" si="3"/>
        <v>30.344999999999985</v>
      </c>
      <c r="I16" t="str">
        <f t="shared" si="4"/>
        <v>140</v>
      </c>
      <c r="J16" t="str">
        <f t="shared" si="5"/>
        <v>50,0</v>
      </c>
      <c r="K16" t="str">
        <f t="shared" si="6"/>
        <v>30,3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38"/>
      <c r="P16" s="238">
        <f t="shared" si="9"/>
        <v>6.6999999999999975</v>
      </c>
      <c r="Q16" s="238" t="str">
        <f t="shared" si="10"/>
        <v>134</v>
      </c>
      <c r="R16" s="238">
        <f t="shared" si="11"/>
        <v>3.3499999999999988</v>
      </c>
      <c r="S16" s="238" t="str">
        <f t="shared" si="12"/>
        <v>47,9</v>
      </c>
      <c r="T16" s="238" t="str">
        <f t="shared" si="13"/>
        <v>29,0</v>
      </c>
      <c r="U16" s="270"/>
    </row>
    <row r="17" spans="1:21" ht="17.100000000000001" customHeight="1" x14ac:dyDescent="0.25">
      <c r="A17" s="1" t="str">
        <f>Minták!W16</f>
        <v>12/IV-Lebdoq</v>
      </c>
      <c r="B17" s="1"/>
      <c r="C17" s="14">
        <f t="shared" si="7"/>
        <v>7.0999999999999961</v>
      </c>
      <c r="D17" s="267">
        <f t="shared" si="15"/>
        <v>141.99999999999991</v>
      </c>
      <c r="E17" s="14">
        <f t="shared" si="8"/>
        <v>3.549999999999998</v>
      </c>
      <c r="F17" s="267">
        <f t="shared" si="14"/>
        <v>50.743699999999976</v>
      </c>
      <c r="G17" s="262">
        <f t="shared" si="16"/>
        <v>3.549999999999998</v>
      </c>
      <c r="H17" s="267">
        <f t="shared" si="3"/>
        <v>30.778499999999983</v>
      </c>
      <c r="I17" t="str">
        <f t="shared" si="4"/>
        <v>142</v>
      </c>
      <c r="J17" t="str">
        <f t="shared" si="5"/>
        <v>50,7</v>
      </c>
      <c r="K17" t="str">
        <f t="shared" si="6"/>
        <v>30,8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38"/>
      <c r="P17" s="238">
        <f t="shared" si="9"/>
        <v>6.7999999999999972</v>
      </c>
      <c r="Q17" s="238" t="str">
        <f t="shared" si="10"/>
        <v>136</v>
      </c>
      <c r="R17" s="238">
        <f t="shared" si="11"/>
        <v>3.3999999999999986</v>
      </c>
      <c r="S17" s="238" t="str">
        <f t="shared" si="12"/>
        <v>48,6</v>
      </c>
      <c r="T17" s="238" t="str">
        <f t="shared" si="13"/>
        <v>29,5</v>
      </c>
      <c r="U17" s="270"/>
    </row>
    <row r="18" spans="1:21" ht="17.100000000000001" customHeight="1" x14ac:dyDescent="0.25">
      <c r="A18" s="1" t="str">
        <f>Minták!W17</f>
        <v>13/IV-Askfua</v>
      </c>
      <c r="B18" s="1"/>
      <c r="C18" s="14">
        <f t="shared" si="7"/>
        <v>7.1999999999999957</v>
      </c>
      <c r="D18" s="267">
        <f t="shared" si="15"/>
        <v>143.99999999999991</v>
      </c>
      <c r="E18" s="14">
        <f t="shared" si="8"/>
        <v>3.5999999999999979</v>
      </c>
      <c r="F18" s="267">
        <f t="shared" si="14"/>
        <v>51.458399999999969</v>
      </c>
      <c r="G18" s="262">
        <f t="shared" si="16"/>
        <v>3.5999999999999979</v>
      </c>
      <c r="H18" s="267">
        <f t="shared" ref="H18:H22" si="17">(G18*$B$13)*8.67</f>
        <v>31.211999999999982</v>
      </c>
      <c r="I18" t="str">
        <f t="shared" si="4"/>
        <v>144</v>
      </c>
      <c r="J18" t="str">
        <f t="shared" si="5"/>
        <v>51,5</v>
      </c>
      <c r="K18" t="str">
        <f t="shared" si="6"/>
        <v>31,2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38"/>
      <c r="P18" s="238">
        <f t="shared" si="9"/>
        <v>6.8999999999999968</v>
      </c>
      <c r="Q18" s="238" t="str">
        <f t="shared" si="10"/>
        <v>138</v>
      </c>
      <c r="R18" s="238">
        <f t="shared" si="11"/>
        <v>3.4499999999999984</v>
      </c>
      <c r="S18" s="238" t="str">
        <f t="shared" si="12"/>
        <v>49,3</v>
      </c>
      <c r="T18" s="238" t="str">
        <f t="shared" si="13"/>
        <v>29,9</v>
      </c>
      <c r="U18" s="243"/>
    </row>
    <row r="19" spans="1:21" ht="17.100000000000001" customHeight="1" x14ac:dyDescent="0.25">
      <c r="A19" s="1" t="str">
        <f>Minták!W18</f>
        <v>14/IV-Mcsjny</v>
      </c>
      <c r="B19" s="1"/>
      <c r="C19" s="14">
        <f t="shared" si="7"/>
        <v>7.2999999999999954</v>
      </c>
      <c r="D19" s="267">
        <f t="shared" si="15"/>
        <v>145.99999999999991</v>
      </c>
      <c r="E19" s="14">
        <f t="shared" si="8"/>
        <v>3.6499999999999977</v>
      </c>
      <c r="F19" s="267">
        <f t="shared" si="14"/>
        <v>52.17309999999997</v>
      </c>
      <c r="G19" s="262">
        <f t="shared" si="16"/>
        <v>3.6499999999999977</v>
      </c>
      <c r="H19" s="267">
        <f t="shared" si="17"/>
        <v>31.645499999999981</v>
      </c>
      <c r="I19" t="str">
        <f t="shared" si="4"/>
        <v>146</v>
      </c>
      <c r="J19" t="str">
        <f t="shared" si="5"/>
        <v>52,2</v>
      </c>
      <c r="K19" t="str">
        <f t="shared" si="6"/>
        <v>31,6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38"/>
      <c r="P19" s="238">
        <f t="shared" si="9"/>
        <v>6.9999999999999964</v>
      </c>
      <c r="Q19" s="238" t="str">
        <f t="shared" si="10"/>
        <v>140</v>
      </c>
      <c r="R19" s="238">
        <f t="shared" si="11"/>
        <v>3.4999999999999982</v>
      </c>
      <c r="S19" s="238" t="str">
        <f t="shared" si="12"/>
        <v>50,0</v>
      </c>
      <c r="T19" s="238" t="str">
        <f t="shared" si="13"/>
        <v>30,3</v>
      </c>
      <c r="U19" s="243"/>
    </row>
    <row r="20" spans="1:21" ht="17.100000000000001" customHeight="1" x14ac:dyDescent="0.25">
      <c r="A20" s="1" t="str">
        <f>Minták!W19</f>
        <v>15/IV-Rskdom</v>
      </c>
      <c r="B20" s="1"/>
      <c r="C20" s="14">
        <f t="shared" si="7"/>
        <v>7.399999999999995</v>
      </c>
      <c r="D20" s="267">
        <f t="shared" si="15"/>
        <v>147.99999999999989</v>
      </c>
      <c r="E20" s="14">
        <f t="shared" si="8"/>
        <v>3.6999999999999975</v>
      </c>
      <c r="F20" s="267">
        <f t="shared" si="14"/>
        <v>52.887799999999963</v>
      </c>
      <c r="G20" s="262">
        <f t="shared" si="16"/>
        <v>3.6999999999999975</v>
      </c>
      <c r="H20" s="267">
        <f t="shared" si="17"/>
        <v>32.078999999999979</v>
      </c>
      <c r="I20" t="str">
        <f t="shared" si="4"/>
        <v>148</v>
      </c>
      <c r="J20" t="str">
        <f t="shared" si="5"/>
        <v>52,9</v>
      </c>
      <c r="K20" t="str">
        <f t="shared" si="6"/>
        <v>32,1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38"/>
      <c r="P20" s="238">
        <f t="shared" si="9"/>
        <v>7.0999999999999961</v>
      </c>
      <c r="Q20" s="238" t="str">
        <f t="shared" si="10"/>
        <v>142</v>
      </c>
      <c r="R20" s="238">
        <f t="shared" si="11"/>
        <v>3.549999999999998</v>
      </c>
      <c r="S20" s="238" t="str">
        <f t="shared" si="12"/>
        <v>50,7</v>
      </c>
      <c r="T20" s="238" t="str">
        <f t="shared" si="13"/>
        <v>30,8</v>
      </c>
      <c r="U20" s="270"/>
    </row>
    <row r="21" spans="1:21" ht="17.100000000000001" customHeight="1" x14ac:dyDescent="0.25">
      <c r="A21" s="1" t="str">
        <f>Minták!W20</f>
        <v>16/IV-Jyhjzbmb</v>
      </c>
      <c r="B21" s="1"/>
      <c r="C21" s="14">
        <f t="shared" si="7"/>
        <v>7.4999999999999947</v>
      </c>
      <c r="D21" s="267">
        <f t="shared" si="15"/>
        <v>149.99999999999989</v>
      </c>
      <c r="E21" s="14">
        <f t="shared" si="8"/>
        <v>3.7499999999999973</v>
      </c>
      <c r="F21" s="267">
        <f t="shared" si="14"/>
        <v>53.602499999999964</v>
      </c>
      <c r="G21" s="262">
        <f t="shared" si="16"/>
        <v>3.7499999999999973</v>
      </c>
      <c r="H21" s="267">
        <f t="shared" si="17"/>
        <v>32.512499999999974</v>
      </c>
      <c r="I21" t="str">
        <f t="shared" si="4"/>
        <v>150</v>
      </c>
      <c r="J21" t="str">
        <f t="shared" si="5"/>
        <v>53,6</v>
      </c>
      <c r="K21" t="str">
        <f t="shared" si="6"/>
        <v>32,5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38"/>
      <c r="P21" s="238">
        <f t="shared" si="9"/>
        <v>7.1999999999999957</v>
      </c>
      <c r="Q21" s="238" t="str">
        <f t="shared" si="10"/>
        <v>144</v>
      </c>
      <c r="R21" s="238">
        <f t="shared" si="11"/>
        <v>3.5999999999999979</v>
      </c>
      <c r="S21" s="238" t="str">
        <f t="shared" si="12"/>
        <v>51,5</v>
      </c>
      <c r="T21" s="238" t="str">
        <f t="shared" si="13"/>
        <v>31,2</v>
      </c>
      <c r="U21" s="270"/>
    </row>
    <row r="22" spans="1:21" ht="17.100000000000001" customHeight="1" x14ac:dyDescent="0.25">
      <c r="A22" s="18" t="s">
        <v>269</v>
      </c>
      <c r="B22" s="1"/>
      <c r="C22" s="4">
        <f t="shared" si="7"/>
        <v>7.5999999999999943</v>
      </c>
      <c r="D22" s="267">
        <f t="shared" si="15"/>
        <v>151.99999999999989</v>
      </c>
      <c r="E22" s="4">
        <f t="shared" si="8"/>
        <v>3.7999999999999972</v>
      </c>
      <c r="F22" s="267">
        <f t="shared" si="14"/>
        <v>54.317199999999964</v>
      </c>
      <c r="G22" s="262">
        <f>C22-E22</f>
        <v>3.7999999999999972</v>
      </c>
      <c r="H22" s="267">
        <f t="shared" si="17"/>
        <v>32.945999999999977</v>
      </c>
      <c r="I22" s="52">
        <f>ROUND(((D22*100)/VLOOKUP(A22,$D$28:$H$30,3,FALSE)),1)</f>
        <v>174.7</v>
      </c>
      <c r="J22" s="52">
        <f>ROUND(((F22*100)/VLOOKUP(A22,$D$28:$H$30,4,FALSE)),1)</f>
        <v>155.19999999999999</v>
      </c>
      <c r="K22">
        <f>ROUND(((H22*100)/VLOOKUP(A22,$D$28:$H$30,5,FALSE)),1)</f>
        <v>202.1</v>
      </c>
      <c r="L22" s="237" t="str">
        <f>IF(Minták!D18="","",Minták!D18)</f>
        <v>14/IV</v>
      </c>
      <c r="M22" s="244"/>
      <c r="N22" s="239" t="str">
        <f>IF(Minták!H18="","",Minták!H18)</f>
        <v>Mcsjny</v>
      </c>
      <c r="O22" s="238"/>
      <c r="P22" s="238">
        <f t="shared" si="9"/>
        <v>7.2999999999999954</v>
      </c>
      <c r="Q22" s="238" t="str">
        <f t="shared" si="10"/>
        <v>146</v>
      </c>
      <c r="R22" s="238">
        <f t="shared" si="11"/>
        <v>3.6499999999999977</v>
      </c>
      <c r="S22" s="238" t="str">
        <f t="shared" si="12"/>
        <v>52,2</v>
      </c>
      <c r="T22" s="238" t="str">
        <f t="shared" si="13"/>
        <v>31,6</v>
      </c>
      <c r="U22" s="243"/>
    </row>
    <row r="23" spans="1:21" ht="17.100000000000001" customHeight="1" x14ac:dyDescent="0.25">
      <c r="L23" s="237" t="str">
        <f>IF(Minták!D19="","",Minták!D19)</f>
        <v>15/IV</v>
      </c>
      <c r="M23" s="244"/>
      <c r="N23" s="239" t="str">
        <f>IF(Minták!H19="","",Minták!H19)</f>
        <v>Rskdom</v>
      </c>
      <c r="O23" s="238"/>
      <c r="P23" s="238">
        <f t="shared" si="9"/>
        <v>7.399999999999995</v>
      </c>
      <c r="Q23" s="238" t="str">
        <f t="shared" si="10"/>
        <v>148</v>
      </c>
      <c r="R23" s="238">
        <f t="shared" si="11"/>
        <v>3.6999999999999975</v>
      </c>
      <c r="S23" s="238" t="str">
        <f t="shared" si="12"/>
        <v>52,9</v>
      </c>
      <c r="T23" s="238" t="str">
        <f t="shared" si="13"/>
        <v>32,1</v>
      </c>
      <c r="U23" s="243"/>
    </row>
    <row r="24" spans="1:21" ht="17.100000000000001" customHeight="1" x14ac:dyDescent="0.25">
      <c r="L24" s="237" t="str">
        <f>IF(Minták!D20="","",Minták!D20)</f>
        <v>16/IV</v>
      </c>
      <c r="M24" s="249"/>
      <c r="N24" s="239" t="str">
        <f>IF(Minták!H20="","",Minták!H20)</f>
        <v>Jyhjzbmb</v>
      </c>
      <c r="O24" s="238"/>
      <c r="P24" s="238">
        <f t="shared" si="9"/>
        <v>7.4999999999999947</v>
      </c>
      <c r="Q24" s="238" t="str">
        <f t="shared" si="10"/>
        <v>150</v>
      </c>
      <c r="R24" s="238">
        <f t="shared" si="11"/>
        <v>3.7499999999999973</v>
      </c>
      <c r="S24" s="238" t="str">
        <f t="shared" si="12"/>
        <v>53,6</v>
      </c>
      <c r="T24" s="238" t="str">
        <f t="shared" si="13"/>
        <v>32,5</v>
      </c>
      <c r="U24" s="272"/>
    </row>
    <row r="25" spans="1:21" ht="17.100000000000001" customHeight="1" x14ac:dyDescent="0.25">
      <c r="L25" s="253"/>
      <c r="M25" s="249"/>
      <c r="N25" s="273" t="str">
        <f>A22</f>
        <v>QC1 (87/35)</v>
      </c>
      <c r="O25" s="238"/>
      <c r="P25" s="238">
        <f t="shared" ref="P25" si="18">IF($A22="-","",C22)</f>
        <v>7.5999999999999943</v>
      </c>
      <c r="Q25" s="238" t="str">
        <f>IF($A22="-","",FIXED(D22,1))</f>
        <v>152,0</v>
      </c>
      <c r="R25" s="238">
        <f t="shared" ref="R25" si="19">IF($A22="-","",E22)</f>
        <v>3.7999999999999972</v>
      </c>
      <c r="S25" s="238" t="str">
        <f>IF($A22="-","",FIXED(F22,1))</f>
        <v>54,3</v>
      </c>
      <c r="T25" s="238"/>
      <c r="U25" s="272"/>
    </row>
    <row r="26" spans="1:21" ht="17.100000000000001" customHeight="1" thickBot="1" x14ac:dyDescent="0.3">
      <c r="F26" t="s">
        <v>87</v>
      </c>
      <c r="L26" s="254"/>
      <c r="M26" s="255"/>
      <c r="N26" s="274"/>
      <c r="O26" s="258"/>
      <c r="P26" s="258"/>
      <c r="Q26" s="258" t="str">
        <f>CONCATENATE(ROUND(I22,1),"%")</f>
        <v>174,7%</v>
      </c>
      <c r="R26" s="258"/>
      <c r="S26" s="258" t="str">
        <f>CONCATENATE(ROUND(J22,1),"%")</f>
        <v>155,2%</v>
      </c>
      <c r="T26" s="258"/>
      <c r="U26" s="290"/>
    </row>
    <row r="27" spans="1:21" ht="17.100000000000001" customHeight="1" x14ac:dyDescent="0.25">
      <c r="A27" t="s">
        <v>24</v>
      </c>
      <c r="D27" t="s">
        <v>85</v>
      </c>
      <c r="F27" t="s">
        <v>186</v>
      </c>
      <c r="G27" t="s">
        <v>187</v>
      </c>
      <c r="H27" t="s">
        <v>188</v>
      </c>
    </row>
    <row r="28" spans="1:21" ht="17.100000000000001" customHeight="1" x14ac:dyDescent="0.25">
      <c r="A28" s="9" t="s">
        <v>44</v>
      </c>
      <c r="D28" s="1" t="str">
        <f>Minták!DW17</f>
        <v>QC1 (87/35)</v>
      </c>
      <c r="F28" s="1">
        <f>Minták!DX17</f>
        <v>87</v>
      </c>
      <c r="G28" s="1">
        <f>Minták!DX18</f>
        <v>35</v>
      </c>
      <c r="H28" s="1">
        <f>Minták!DX19</f>
        <v>16.3</v>
      </c>
      <c r="R28" s="15" t="s">
        <v>38</v>
      </c>
    </row>
    <row r="29" spans="1:21" ht="17.100000000000001" customHeight="1" x14ac:dyDescent="0.25">
      <c r="D29" s="1" t="str">
        <f>Minták!DY17</f>
        <v>ök 2</v>
      </c>
      <c r="F29" s="1">
        <f>Minták!DZ17</f>
        <v>22</v>
      </c>
      <c r="G29" s="1">
        <f>Minták!DZ18</f>
        <v>23</v>
      </c>
      <c r="H29" s="1">
        <f>Minták!DZ19</f>
        <v>24</v>
      </c>
    </row>
    <row r="30" spans="1:21" ht="17.100000000000001" customHeight="1" x14ac:dyDescent="0.25">
      <c r="D30" s="1" t="str">
        <f>Minták!EA17</f>
        <v>ök 3</v>
      </c>
      <c r="F30" s="1">
        <f>Minták!EB17</f>
        <v>222</v>
      </c>
      <c r="G30" s="1">
        <f>Minták!EB18</f>
        <v>223</v>
      </c>
      <c r="H30" s="1">
        <f>Minták!EB19</f>
        <v>224</v>
      </c>
    </row>
    <row r="31" spans="1:21" ht="17.100000000000001" customHeight="1" x14ac:dyDescent="0.25"/>
    <row r="32" spans="1:21" ht="17.100000000000001" customHeight="1" x14ac:dyDescent="0.25">
      <c r="B32" t="s">
        <v>186</v>
      </c>
      <c r="C32" t="s">
        <v>187</v>
      </c>
      <c r="D32" t="s">
        <v>188</v>
      </c>
    </row>
    <row r="33" spans="1:4" ht="17.100000000000001" customHeight="1" x14ac:dyDescent="0.25">
      <c r="A33" t="s">
        <v>54</v>
      </c>
      <c r="B33" s="260" t="str">
        <f>Minták!DU17</f>
        <v>2,0</v>
      </c>
      <c r="C33" s="260" t="str">
        <f>Minták!DU18</f>
        <v>1,5</v>
      </c>
      <c r="D33" s="260" t="str">
        <f>Minták!DU19</f>
        <v>1,5</v>
      </c>
    </row>
    <row r="34" spans="1:4" ht="17.100000000000001" customHeight="1" x14ac:dyDescent="0.25">
      <c r="A34" t="s">
        <v>55</v>
      </c>
      <c r="B34" s="1" t="str">
        <f>Minták!DV17</f>
        <v>képlet</v>
      </c>
      <c r="C34" s="1" t="str">
        <f>Minták!DV18</f>
        <v>képlet</v>
      </c>
      <c r="D34" s="1" t="str">
        <f>Minták!DV19</f>
        <v>képlet</v>
      </c>
    </row>
    <row r="35" spans="1:4" ht="17.100000000000001" customHeight="1" x14ac:dyDescent="0.25">
      <c r="A35" t="s">
        <v>135</v>
      </c>
      <c r="B35" s="1" t="str">
        <f>Minták!DT17</f>
        <v>-</v>
      </c>
      <c r="C35" s="1" t="str">
        <f>Minták!DT18</f>
        <v>-</v>
      </c>
      <c r="D35" s="1" t="str">
        <f>Minták!DT19</f>
        <v>-</v>
      </c>
    </row>
    <row r="36" spans="1:4" ht="17.100000000000001" customHeight="1" x14ac:dyDescent="0.25"/>
    <row r="37" spans="1:4" ht="17.100000000000001" customHeight="1" x14ac:dyDescent="0.25"/>
    <row r="38" spans="1:4" ht="17.100000000000001" customHeight="1" x14ac:dyDescent="0.25"/>
    <row r="39" spans="1:4" ht="17.100000000000001" customHeight="1" x14ac:dyDescent="0.25"/>
  </sheetData>
  <sheetProtection algorithmName="SHA-512" hashValue="iNenW60Wgoc/+Hc7DMVFRnBzQs+7aCWsI1SrPjCUayyr4kt943+BQeh5fowxSUkqsqHOalpiUBGqbr+o7xbTew==" saltValue="fQ4TBEh/j5MNn8ueVZft/w==" spinCount="100000" sheet="1" objects="1" scenarios="1"/>
  <mergeCells count="19">
    <mergeCell ref="U6:U8"/>
    <mergeCell ref="B3:B5"/>
    <mergeCell ref="B6:B8"/>
    <mergeCell ref="B10:B12"/>
    <mergeCell ref="C3:D4"/>
    <mergeCell ref="E3:F4"/>
    <mergeCell ref="G3:H4"/>
    <mergeCell ref="L6:L8"/>
    <mergeCell ref="M6:M8"/>
    <mergeCell ref="N6:N8"/>
    <mergeCell ref="A1:H2"/>
    <mergeCell ref="L1:M4"/>
    <mergeCell ref="N1:T4"/>
    <mergeCell ref="A3:A4"/>
    <mergeCell ref="O6:O8"/>
    <mergeCell ref="P6:Q6"/>
    <mergeCell ref="P7:Q7"/>
    <mergeCell ref="R6:S6"/>
    <mergeCell ref="R7:S7"/>
  </mergeCells>
  <pageMargins left="0.7" right="0.7" top="0.75" bottom="0.75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Munka12"/>
  <dimension ref="A1:S60"/>
  <sheetViews>
    <sheetView topLeftCell="A5" zoomScale="91" zoomScaleNormal="91" workbookViewId="0">
      <selection activeCell="A29" sqref="A29"/>
    </sheetView>
  </sheetViews>
  <sheetFormatPr defaultColWidth="9.140625" defaultRowHeight="18.399999999999999" customHeight="1" x14ac:dyDescent="0.25"/>
  <cols>
    <col min="1" max="1" width="33" customWidth="1"/>
    <col min="2" max="2" width="13.140625" customWidth="1"/>
    <col min="3" max="3" width="14.85546875" customWidth="1"/>
    <col min="4" max="4" width="12.85546875" customWidth="1"/>
    <col min="5" max="5" width="14.140625" customWidth="1"/>
    <col min="7" max="7" width="12" style="247" bestFit="1" customWidth="1"/>
    <col min="12" max="12" width="9.140625" style="82"/>
    <col min="13" max="13" width="13.85546875" style="82" customWidth="1"/>
    <col min="14" max="14" width="27.5703125" style="82" customWidth="1"/>
    <col min="15" max="18" width="15.28515625" style="82" customWidth="1"/>
    <col min="19" max="19" width="18.5703125" style="82" customWidth="1"/>
  </cols>
  <sheetData>
    <row r="1" spans="1:19" ht="18" customHeight="1" thickBot="1" x14ac:dyDescent="0.3">
      <c r="A1" s="733" t="s">
        <v>206</v>
      </c>
      <c r="B1" s="733"/>
      <c r="C1" s="733"/>
      <c r="D1" s="733"/>
      <c r="E1" s="733"/>
      <c r="L1" s="438" t="s">
        <v>319</v>
      </c>
      <c r="M1" s="690"/>
      <c r="N1" s="695" t="s">
        <v>354</v>
      </c>
      <c r="O1" s="742"/>
      <c r="P1" s="742"/>
      <c r="Q1" s="742"/>
      <c r="R1" s="743"/>
      <c r="S1" s="219" t="s">
        <v>344</v>
      </c>
    </row>
    <row r="2" spans="1:19" ht="18" customHeight="1" thickBot="1" x14ac:dyDescent="0.3">
      <c r="A2" s="733"/>
      <c r="B2" s="733"/>
      <c r="C2" s="733"/>
      <c r="D2" s="733"/>
      <c r="E2" s="733"/>
      <c r="L2" s="691"/>
      <c r="M2" s="692"/>
      <c r="N2" s="744"/>
      <c r="O2" s="745"/>
      <c r="P2" s="745"/>
      <c r="Q2" s="745"/>
      <c r="R2" s="746"/>
      <c r="S2" s="220" t="s">
        <v>320</v>
      </c>
    </row>
    <row r="3" spans="1:19" ht="18" customHeight="1" x14ac:dyDescent="0.25">
      <c r="A3" s="734" t="s">
        <v>3</v>
      </c>
      <c r="B3" s="760" t="s">
        <v>207</v>
      </c>
      <c r="C3" s="760" t="s">
        <v>209</v>
      </c>
      <c r="D3" s="756" t="s">
        <v>210</v>
      </c>
      <c r="E3" s="760" t="s">
        <v>211</v>
      </c>
      <c r="L3" s="691"/>
      <c r="M3" s="692"/>
      <c r="N3" s="744"/>
      <c r="O3" s="745"/>
      <c r="P3" s="745"/>
      <c r="Q3" s="745"/>
      <c r="R3" s="746"/>
      <c r="S3" s="220" t="s">
        <v>706</v>
      </c>
    </row>
    <row r="4" spans="1:19" ht="18" customHeight="1" x14ac:dyDescent="0.25">
      <c r="A4" s="778"/>
      <c r="B4" s="761"/>
      <c r="C4" s="775"/>
      <c r="D4" s="776"/>
      <c r="E4" s="775"/>
      <c r="L4" s="693"/>
      <c r="M4" s="694"/>
      <c r="N4" s="747"/>
      <c r="O4" s="748"/>
      <c r="P4" s="748"/>
      <c r="Q4" s="748"/>
      <c r="R4" s="749"/>
      <c r="S4" s="221" t="s">
        <v>324</v>
      </c>
    </row>
    <row r="5" spans="1:19" ht="17.100000000000001" customHeight="1" thickBot="1" x14ac:dyDescent="0.3">
      <c r="A5" s="735"/>
      <c r="B5" s="762"/>
      <c r="C5" s="763"/>
      <c r="D5" s="777"/>
      <c r="E5" s="763"/>
    </row>
    <row r="6" spans="1:19" ht="17.100000000000001" customHeight="1" x14ac:dyDescent="0.25">
      <c r="A6" s="1" t="str">
        <f>Minták!W5</f>
        <v>1/IV-Nhhlz</v>
      </c>
      <c r="B6" s="4">
        <v>40</v>
      </c>
      <c r="C6" s="4">
        <f>B6+0.002</f>
        <v>40.002000000000002</v>
      </c>
      <c r="D6" s="4">
        <v>100</v>
      </c>
      <c r="E6" s="267">
        <f>((C6-B6)*411.5)*1000/D6</f>
        <v>8.2300000000100582</v>
      </c>
      <c r="F6" t="str">
        <f t="shared" ref="F6:F21" si="0">IFERROR(IF(E6&lt;VALUE(B$29),CONCATENATE("&lt;",B$29),FIXED(E6,B$30)),"-")</f>
        <v>8</v>
      </c>
      <c r="L6" s="704" t="s">
        <v>25</v>
      </c>
      <c r="M6" s="704" t="s">
        <v>26</v>
      </c>
      <c r="N6" s="707" t="s">
        <v>27</v>
      </c>
      <c r="O6" s="707" t="s">
        <v>215</v>
      </c>
      <c r="P6" s="707" t="s">
        <v>216</v>
      </c>
      <c r="Q6" s="707" t="s">
        <v>208</v>
      </c>
      <c r="R6" s="222" t="s">
        <v>257</v>
      </c>
      <c r="S6" s="704" t="s">
        <v>32</v>
      </c>
    </row>
    <row r="7" spans="1:19" ht="17.100000000000001" customHeight="1" x14ac:dyDescent="0.25">
      <c r="A7" s="1" t="str">
        <f>Minták!W6</f>
        <v>2/IV-ADATOT BEÍRNI</v>
      </c>
      <c r="B7" s="4">
        <v>40</v>
      </c>
      <c r="C7" s="4">
        <f t="shared" ref="C7:C22" si="1">C6+0.002</f>
        <v>40.004000000000005</v>
      </c>
      <c r="D7" s="4">
        <v>100</v>
      </c>
      <c r="E7" s="267">
        <f t="shared" ref="E7:E22" si="2">((C7-B7)*411.5)*1000/D7</f>
        <v>16.460000000020116</v>
      </c>
      <c r="F7" t="str">
        <f t="shared" si="0"/>
        <v>16</v>
      </c>
      <c r="L7" s="705"/>
      <c r="M7" s="705"/>
      <c r="N7" s="708"/>
      <c r="O7" s="708"/>
      <c r="P7" s="708"/>
      <c r="Q7" s="708"/>
      <c r="R7" s="226" t="s">
        <v>213</v>
      </c>
      <c r="S7" s="705"/>
    </row>
    <row r="8" spans="1:19" ht="17.100000000000001" customHeight="1" thickBot="1" x14ac:dyDescent="0.3">
      <c r="A8" s="1" t="str">
        <f>Minták!W7</f>
        <v>3/KIV-ADATOT BEÍRNI</v>
      </c>
      <c r="B8" s="4">
        <v>40</v>
      </c>
      <c r="C8" s="4">
        <f t="shared" si="1"/>
        <v>40.006000000000007</v>
      </c>
      <c r="D8" s="4">
        <v>100</v>
      </c>
      <c r="E8" s="267">
        <f t="shared" si="2"/>
        <v>24.690000000030171</v>
      </c>
      <c r="F8" t="str">
        <f t="shared" si="0"/>
        <v>25</v>
      </c>
      <c r="L8" s="764"/>
      <c r="M8" s="764"/>
      <c r="N8" s="774"/>
      <c r="O8" s="774"/>
      <c r="P8" s="774"/>
      <c r="Q8" s="774"/>
      <c r="R8" s="304" t="s">
        <v>214</v>
      </c>
      <c r="S8" s="764"/>
    </row>
    <row r="9" spans="1:19" ht="17.100000000000001" customHeight="1" x14ac:dyDescent="0.25">
      <c r="A9" s="1" t="str">
        <f>Minták!W8</f>
        <v>4/IV-Ebnxscqc</v>
      </c>
      <c r="B9" s="4">
        <v>40</v>
      </c>
      <c r="C9" s="4">
        <f t="shared" si="1"/>
        <v>40.00800000000001</v>
      </c>
      <c r="D9" s="4">
        <v>100</v>
      </c>
      <c r="E9" s="267">
        <f t="shared" si="2"/>
        <v>32.920000000040233</v>
      </c>
      <c r="F9" t="str">
        <f t="shared" si="0"/>
        <v>33</v>
      </c>
      <c r="L9" s="230" t="str">
        <f>IF(Minták!D5="","",Minták!D5)</f>
        <v>1/IV</v>
      </c>
      <c r="M9" s="263">
        <f>A28</f>
        <v>45324</v>
      </c>
      <c r="N9" s="232" t="str">
        <f>IF(Minták!H5="","",Minták!H5)</f>
        <v>Nhhlz</v>
      </c>
      <c r="O9" s="234">
        <f>IF($A6="-","",B6)</f>
        <v>40</v>
      </c>
      <c r="P9" s="234">
        <f>IF($A6="-","",C6)</f>
        <v>40.002000000000002</v>
      </c>
      <c r="Q9" s="234">
        <f>IF($A6="-","",D6)</f>
        <v>100</v>
      </c>
      <c r="R9" s="234" t="str">
        <f t="shared" ref="R9:R24" si="3">IF($A6="-","-",F6)</f>
        <v>8</v>
      </c>
      <c r="S9" s="236"/>
    </row>
    <row r="10" spans="1:19" ht="17.100000000000001" customHeight="1" x14ac:dyDescent="0.25">
      <c r="A10" s="1" t="str">
        <f>Minták!W9</f>
        <v>5/IV-Ubqpva</v>
      </c>
      <c r="B10" s="4">
        <v>40</v>
      </c>
      <c r="C10" s="4">
        <f t="shared" si="1"/>
        <v>40.010000000000012</v>
      </c>
      <c r="D10" s="4">
        <v>100</v>
      </c>
      <c r="E10" s="267">
        <f t="shared" si="2"/>
        <v>41.150000000050298</v>
      </c>
      <c r="F10" t="str">
        <f t="shared" si="0"/>
        <v>41</v>
      </c>
      <c r="L10" s="237" t="str">
        <f>IF(Minták!D6="","",Minták!D6)</f>
        <v>2/IV</v>
      </c>
      <c r="M10" s="238"/>
      <c r="N10" s="239" t="str">
        <f>IF(Minták!H6="","",Minták!H6)</f>
        <v>ADATOT BEÍRNI</v>
      </c>
      <c r="O10" s="238">
        <f t="shared" ref="O10:O25" si="4">IF($A7="-","",B7)</f>
        <v>40</v>
      </c>
      <c r="P10" s="238">
        <f t="shared" ref="P10:P25" si="5">IF($A7="-","",C7)</f>
        <v>40.004000000000005</v>
      </c>
      <c r="Q10" s="238">
        <f t="shared" ref="Q10:Q25" si="6">IF($A7="-","",D7)</f>
        <v>100</v>
      </c>
      <c r="R10" s="238" t="str">
        <f t="shared" si="3"/>
        <v>16</v>
      </c>
      <c r="S10" s="243"/>
    </row>
    <row r="11" spans="1:19" ht="17.100000000000001" customHeight="1" x14ac:dyDescent="0.25">
      <c r="A11" s="1" t="str">
        <f>Minták!W10</f>
        <v>6/IV-Eouypz</v>
      </c>
      <c r="B11" s="4">
        <v>40</v>
      </c>
      <c r="C11" s="4">
        <f t="shared" si="1"/>
        <v>40.012000000000015</v>
      </c>
      <c r="D11" s="4">
        <v>100</v>
      </c>
      <c r="E11" s="267">
        <f t="shared" si="2"/>
        <v>49.380000000060342</v>
      </c>
      <c r="F11" t="str">
        <f t="shared" si="0"/>
        <v>49</v>
      </c>
      <c r="L11" s="237" t="str">
        <f>IF(Minták!D7="","",Minták!D7)</f>
        <v>3/KIV</v>
      </c>
      <c r="M11" s="238"/>
      <c r="N11" s="239" t="str">
        <f>IF(Minták!H7="","",Minták!H7)</f>
        <v>ADATOT BEÍRNI</v>
      </c>
      <c r="O11" s="238">
        <f t="shared" si="4"/>
        <v>40</v>
      </c>
      <c r="P11" s="238">
        <f t="shared" si="5"/>
        <v>40.006000000000007</v>
      </c>
      <c r="Q11" s="238">
        <f t="shared" si="6"/>
        <v>100</v>
      </c>
      <c r="R11" s="238" t="str">
        <f t="shared" si="3"/>
        <v>25</v>
      </c>
      <c r="S11" s="243"/>
    </row>
    <row r="12" spans="1:19" ht="17.100000000000001" customHeight="1" x14ac:dyDescent="0.25">
      <c r="A12" s="1" t="str">
        <f>Minták!W11</f>
        <v>7/IV-Rkohqy</v>
      </c>
      <c r="B12" s="4">
        <v>40</v>
      </c>
      <c r="C12" s="4">
        <f t="shared" si="1"/>
        <v>40.014000000000017</v>
      </c>
      <c r="D12" s="4">
        <v>100</v>
      </c>
      <c r="E12" s="267">
        <f t="shared" si="2"/>
        <v>57.610000000070407</v>
      </c>
      <c r="F12" t="str">
        <f t="shared" si="0"/>
        <v>58</v>
      </c>
      <c r="L12" s="237" t="str">
        <f>IF(Minták!D8="","",Minták!D8)</f>
        <v>4/IV</v>
      </c>
      <c r="M12" s="238"/>
      <c r="N12" s="239" t="str">
        <f>IF(Minták!H8="","",Minták!H8)</f>
        <v>Ebnxscqc</v>
      </c>
      <c r="O12" s="238">
        <f t="shared" si="4"/>
        <v>40</v>
      </c>
      <c r="P12" s="238">
        <f t="shared" si="5"/>
        <v>40.00800000000001</v>
      </c>
      <c r="Q12" s="238">
        <f t="shared" si="6"/>
        <v>100</v>
      </c>
      <c r="R12" s="238" t="str">
        <f t="shared" si="3"/>
        <v>33</v>
      </c>
      <c r="S12" s="243"/>
    </row>
    <row r="13" spans="1:19" ht="17.100000000000001" customHeight="1" x14ac:dyDescent="0.25">
      <c r="A13" s="1" t="str">
        <f>Minták!W12</f>
        <v>8/IV-Vxhhmc</v>
      </c>
      <c r="B13" s="4">
        <v>40</v>
      </c>
      <c r="C13" s="4">
        <f t="shared" si="1"/>
        <v>40.01600000000002</v>
      </c>
      <c r="D13" s="4">
        <v>100</v>
      </c>
      <c r="E13" s="267">
        <f t="shared" si="2"/>
        <v>65.840000000080465</v>
      </c>
      <c r="F13" t="str">
        <f t="shared" si="0"/>
        <v>66</v>
      </c>
      <c r="L13" s="237" t="str">
        <f>IF(Minták!D9="","",Minták!D9)</f>
        <v>5/IV</v>
      </c>
      <c r="M13" s="238"/>
      <c r="N13" s="239" t="str">
        <f>IF(Minták!H9="","",Minták!H9)</f>
        <v>Ubqpva</v>
      </c>
      <c r="O13" s="238">
        <f t="shared" si="4"/>
        <v>40</v>
      </c>
      <c r="P13" s="238">
        <f t="shared" si="5"/>
        <v>40.010000000000012</v>
      </c>
      <c r="Q13" s="238">
        <f t="shared" si="6"/>
        <v>100</v>
      </c>
      <c r="R13" s="238" t="str">
        <f t="shared" si="3"/>
        <v>41</v>
      </c>
      <c r="S13" s="243"/>
    </row>
    <row r="14" spans="1:19" ht="17.100000000000001" customHeight="1" x14ac:dyDescent="0.25">
      <c r="A14" s="1" t="str">
        <f>Minták!W13</f>
        <v>9/IV-Msdxtl</v>
      </c>
      <c r="B14" s="4">
        <v>40</v>
      </c>
      <c r="C14" s="4">
        <f t="shared" si="1"/>
        <v>40.018000000000022</v>
      </c>
      <c r="D14" s="4">
        <v>100</v>
      </c>
      <c r="E14" s="267">
        <f t="shared" si="2"/>
        <v>74.070000000090516</v>
      </c>
      <c r="F14" t="str">
        <f t="shared" si="0"/>
        <v>74</v>
      </c>
      <c r="L14" s="237" t="str">
        <f>IF(Minták!D10="","",Minták!D10)</f>
        <v>6/IV</v>
      </c>
      <c r="M14" s="238"/>
      <c r="N14" s="239" t="str">
        <f>IF(Minták!H10="","",Minták!H10)</f>
        <v>Eouypz</v>
      </c>
      <c r="O14" s="238">
        <f t="shared" si="4"/>
        <v>40</v>
      </c>
      <c r="P14" s="238">
        <f t="shared" si="5"/>
        <v>40.012000000000015</v>
      </c>
      <c r="Q14" s="238">
        <f t="shared" si="6"/>
        <v>100</v>
      </c>
      <c r="R14" s="238" t="str">
        <f t="shared" si="3"/>
        <v>49</v>
      </c>
      <c r="S14" s="243"/>
    </row>
    <row r="15" spans="1:19" ht="17.100000000000001" customHeight="1" x14ac:dyDescent="0.25">
      <c r="A15" s="1" t="str">
        <f>Minták!W14</f>
        <v>10/IV-Qoldnt</v>
      </c>
      <c r="B15" s="4">
        <v>40</v>
      </c>
      <c r="C15" s="4">
        <f t="shared" si="1"/>
        <v>40.020000000000024</v>
      </c>
      <c r="D15" s="4">
        <v>100</v>
      </c>
      <c r="E15" s="267">
        <f t="shared" si="2"/>
        <v>82.300000000100596</v>
      </c>
      <c r="F15" t="str">
        <f t="shared" si="0"/>
        <v>82</v>
      </c>
      <c r="L15" s="237" t="str">
        <f>IF(Minták!D11="","",Minták!D11)</f>
        <v>7/IV</v>
      </c>
      <c r="M15" s="238"/>
      <c r="N15" s="239" t="str">
        <f>IF(Minták!H11="","",Minták!H11)</f>
        <v>Rkohqy</v>
      </c>
      <c r="O15" s="238">
        <f t="shared" si="4"/>
        <v>40</v>
      </c>
      <c r="P15" s="238">
        <f t="shared" si="5"/>
        <v>40.014000000000017</v>
      </c>
      <c r="Q15" s="238">
        <f t="shared" si="6"/>
        <v>100</v>
      </c>
      <c r="R15" s="238" t="str">
        <f t="shared" si="3"/>
        <v>58</v>
      </c>
      <c r="S15" s="243"/>
    </row>
    <row r="16" spans="1:19" ht="17.100000000000001" customHeight="1" x14ac:dyDescent="0.25">
      <c r="A16" s="1" t="str">
        <f>Minták!W15</f>
        <v>11/IV-Qnvptf</v>
      </c>
      <c r="B16" s="4">
        <v>40</v>
      </c>
      <c r="C16" s="4">
        <f t="shared" si="1"/>
        <v>40.022000000000027</v>
      </c>
      <c r="D16" s="4">
        <v>100</v>
      </c>
      <c r="E16" s="267">
        <f t="shared" si="2"/>
        <v>90.530000000110633</v>
      </c>
      <c r="F16" t="str">
        <f t="shared" si="0"/>
        <v>91</v>
      </c>
      <c r="L16" s="237" t="str">
        <f>IF(Minták!D12="","",Minták!D12)</f>
        <v>8/IV</v>
      </c>
      <c r="M16" s="238"/>
      <c r="N16" s="239" t="str">
        <f>IF(Minták!H12="","",Minták!H12)</f>
        <v>Vxhhmc</v>
      </c>
      <c r="O16" s="238">
        <f t="shared" si="4"/>
        <v>40</v>
      </c>
      <c r="P16" s="238">
        <f t="shared" si="5"/>
        <v>40.01600000000002</v>
      </c>
      <c r="Q16" s="238">
        <f t="shared" si="6"/>
        <v>100</v>
      </c>
      <c r="R16" s="238" t="str">
        <f t="shared" si="3"/>
        <v>66</v>
      </c>
      <c r="S16" s="270"/>
    </row>
    <row r="17" spans="1:19" ht="17.100000000000001" customHeight="1" x14ac:dyDescent="0.25">
      <c r="A17" s="1" t="str">
        <f>Minták!W16</f>
        <v>12/IV-Lebdoq</v>
      </c>
      <c r="B17" s="4">
        <v>40</v>
      </c>
      <c r="C17" s="4">
        <f t="shared" si="1"/>
        <v>40.024000000000029</v>
      </c>
      <c r="D17" s="4">
        <v>100</v>
      </c>
      <c r="E17" s="267">
        <f t="shared" si="2"/>
        <v>98.760000000120684</v>
      </c>
      <c r="F17" t="str">
        <f t="shared" si="0"/>
        <v>99</v>
      </c>
      <c r="L17" s="237" t="str">
        <f>IF(Minták!D13="","",Minták!D13)</f>
        <v>9/IV</v>
      </c>
      <c r="M17" s="238"/>
      <c r="N17" s="239" t="str">
        <f>IF(Minták!H13="","",Minták!H13)</f>
        <v>Msdxtl</v>
      </c>
      <c r="O17" s="238">
        <f t="shared" si="4"/>
        <v>40</v>
      </c>
      <c r="P17" s="238">
        <f t="shared" si="5"/>
        <v>40.018000000000022</v>
      </c>
      <c r="Q17" s="238">
        <f t="shared" si="6"/>
        <v>100</v>
      </c>
      <c r="R17" s="238" t="str">
        <f t="shared" si="3"/>
        <v>74</v>
      </c>
      <c r="S17" s="270"/>
    </row>
    <row r="18" spans="1:19" ht="17.100000000000001" customHeight="1" x14ac:dyDescent="0.25">
      <c r="A18" s="1" t="str">
        <f>Minták!W17</f>
        <v>13/IV-Askfua</v>
      </c>
      <c r="B18" s="4">
        <v>40</v>
      </c>
      <c r="C18" s="4">
        <f t="shared" si="1"/>
        <v>40.026000000000032</v>
      </c>
      <c r="D18" s="4">
        <v>100</v>
      </c>
      <c r="E18" s="267">
        <f t="shared" si="2"/>
        <v>106.99000000013075</v>
      </c>
      <c r="F18" t="str">
        <f t="shared" si="0"/>
        <v>107</v>
      </c>
      <c r="L18" s="237" t="str">
        <f>IF(Minták!D14="","",Minták!D14)</f>
        <v>10/IV</v>
      </c>
      <c r="M18" s="238"/>
      <c r="N18" s="239" t="str">
        <f>IF(Minták!H14="","",Minták!H14)</f>
        <v>Qoldnt</v>
      </c>
      <c r="O18" s="238">
        <f t="shared" si="4"/>
        <v>40</v>
      </c>
      <c r="P18" s="238">
        <f t="shared" si="5"/>
        <v>40.020000000000024</v>
      </c>
      <c r="Q18" s="238">
        <f t="shared" si="6"/>
        <v>100</v>
      </c>
      <c r="R18" s="238" t="str">
        <f t="shared" si="3"/>
        <v>82</v>
      </c>
      <c r="S18" s="243"/>
    </row>
    <row r="19" spans="1:19" ht="17.100000000000001" customHeight="1" x14ac:dyDescent="0.25">
      <c r="A19" s="1" t="str">
        <f>Minták!W18</f>
        <v>14/IV-Mcsjny</v>
      </c>
      <c r="B19" s="4">
        <v>40</v>
      </c>
      <c r="C19" s="4">
        <f t="shared" si="1"/>
        <v>40.028000000000034</v>
      </c>
      <c r="D19" s="4">
        <v>100</v>
      </c>
      <c r="E19" s="267">
        <f t="shared" si="2"/>
        <v>115.22000000014081</v>
      </c>
      <c r="F19" t="str">
        <f t="shared" si="0"/>
        <v>115</v>
      </c>
      <c r="L19" s="237" t="str">
        <f>IF(Minták!D15="","",Minták!D15)</f>
        <v>11/IV</v>
      </c>
      <c r="M19" s="238"/>
      <c r="N19" s="239" t="str">
        <f>IF(Minták!H15="","",Minták!H15)</f>
        <v>Qnvptf</v>
      </c>
      <c r="O19" s="238">
        <f t="shared" si="4"/>
        <v>40</v>
      </c>
      <c r="P19" s="238">
        <f t="shared" si="5"/>
        <v>40.022000000000027</v>
      </c>
      <c r="Q19" s="238">
        <f t="shared" si="6"/>
        <v>100</v>
      </c>
      <c r="R19" s="238" t="str">
        <f t="shared" si="3"/>
        <v>91</v>
      </c>
      <c r="S19" s="243"/>
    </row>
    <row r="20" spans="1:19" ht="17.100000000000001" customHeight="1" x14ac:dyDescent="0.25">
      <c r="A20" s="1" t="str">
        <f>Minták!W19</f>
        <v>15/IV-Rskdom</v>
      </c>
      <c r="B20" s="4">
        <v>40</v>
      </c>
      <c r="C20" s="4">
        <f t="shared" si="1"/>
        <v>40.030000000000037</v>
      </c>
      <c r="D20" s="4">
        <v>100</v>
      </c>
      <c r="E20" s="267">
        <f t="shared" si="2"/>
        <v>123.45000000015087</v>
      </c>
      <c r="F20" t="str">
        <f t="shared" si="0"/>
        <v>123</v>
      </c>
      <c r="L20" s="237" t="str">
        <f>IF(Minták!D16="","",Minták!D16)</f>
        <v>12/IV</v>
      </c>
      <c r="M20" s="238"/>
      <c r="N20" s="239" t="str">
        <f>IF(Minták!H16="","",Minták!H16)</f>
        <v>Lebdoq</v>
      </c>
      <c r="O20" s="238">
        <f t="shared" si="4"/>
        <v>40</v>
      </c>
      <c r="P20" s="238">
        <f t="shared" si="5"/>
        <v>40.024000000000029</v>
      </c>
      <c r="Q20" s="238">
        <f t="shared" si="6"/>
        <v>100</v>
      </c>
      <c r="R20" s="238" t="str">
        <f t="shared" si="3"/>
        <v>99</v>
      </c>
      <c r="S20" s="270"/>
    </row>
    <row r="21" spans="1:19" ht="17.100000000000001" customHeight="1" x14ac:dyDescent="0.25">
      <c r="A21" s="1" t="str">
        <f>Minták!W20</f>
        <v>16/IV-Jyhjzbmb</v>
      </c>
      <c r="B21" s="4">
        <v>40</v>
      </c>
      <c r="C21" s="4">
        <f t="shared" si="1"/>
        <v>40.032000000000039</v>
      </c>
      <c r="D21" s="4">
        <v>100</v>
      </c>
      <c r="E21" s="267">
        <f t="shared" si="2"/>
        <v>131.68000000016093</v>
      </c>
      <c r="F21" t="str">
        <f t="shared" si="0"/>
        <v>132</v>
      </c>
      <c r="L21" s="237" t="str">
        <f>IF(Minták!D17="","",Minták!D17)</f>
        <v>13/IV</v>
      </c>
      <c r="M21" s="238"/>
      <c r="N21" s="239" t="str">
        <f>IF(Minták!H17="","",Minták!H17)</f>
        <v>Askfua</v>
      </c>
      <c r="O21" s="238">
        <f t="shared" si="4"/>
        <v>40</v>
      </c>
      <c r="P21" s="238">
        <f t="shared" si="5"/>
        <v>40.026000000000032</v>
      </c>
      <c r="Q21" s="238">
        <f t="shared" si="6"/>
        <v>100</v>
      </c>
      <c r="R21" s="238" t="str">
        <f t="shared" si="3"/>
        <v>107</v>
      </c>
      <c r="S21" s="270"/>
    </row>
    <row r="22" spans="1:19" ht="17.100000000000001" customHeight="1" x14ac:dyDescent="0.25">
      <c r="A22" s="18" t="s">
        <v>160</v>
      </c>
      <c r="B22" s="4">
        <v>40</v>
      </c>
      <c r="C22" s="4">
        <f t="shared" si="1"/>
        <v>40.034000000000042</v>
      </c>
      <c r="D22" s="4">
        <v>100</v>
      </c>
      <c r="E22" s="267">
        <f t="shared" si="2"/>
        <v>139.91000000017098</v>
      </c>
      <c r="F22" s="52">
        <f>ROUND(((E22*100)/VLOOKUP(A22,$D$28:$F$30,3,FALSE)),1)</f>
        <v>699.6</v>
      </c>
      <c r="H22" s="52"/>
      <c r="I22" s="52"/>
      <c r="J22" s="52"/>
      <c r="K22" s="52"/>
      <c r="L22" s="237" t="str">
        <f>IF(Minták!D18="","",Minták!D18)</f>
        <v>14/IV</v>
      </c>
      <c r="M22" s="244"/>
      <c r="N22" s="239" t="str">
        <f>IF(Minták!H18="","",Minták!H18)</f>
        <v>Mcsjny</v>
      </c>
      <c r="O22" s="238">
        <f t="shared" si="4"/>
        <v>40</v>
      </c>
      <c r="P22" s="238">
        <f t="shared" si="5"/>
        <v>40.028000000000034</v>
      </c>
      <c r="Q22" s="238">
        <f t="shared" si="6"/>
        <v>100</v>
      </c>
      <c r="R22" s="238" t="str">
        <f t="shared" si="3"/>
        <v>115</v>
      </c>
      <c r="S22" s="243"/>
    </row>
    <row r="23" spans="1:19" ht="17.100000000000001" customHeight="1" x14ac:dyDescent="0.25">
      <c r="L23" s="237" t="str">
        <f>IF(Minták!D19="","",Minták!D19)</f>
        <v>15/IV</v>
      </c>
      <c r="M23" s="244"/>
      <c r="N23" s="239" t="str">
        <f>IF(Minták!H19="","",Minták!H19)</f>
        <v>Rskdom</v>
      </c>
      <c r="O23" s="238">
        <f t="shared" si="4"/>
        <v>40</v>
      </c>
      <c r="P23" s="238">
        <f t="shared" si="5"/>
        <v>40.030000000000037</v>
      </c>
      <c r="Q23" s="238">
        <f t="shared" si="6"/>
        <v>100</v>
      </c>
      <c r="R23" s="238" t="str">
        <f t="shared" si="3"/>
        <v>123</v>
      </c>
      <c r="S23" s="243"/>
    </row>
    <row r="24" spans="1:19" ht="17.100000000000001" customHeight="1" x14ac:dyDescent="0.25">
      <c r="L24" s="237" t="str">
        <f>IF(Minták!D20="","",Minták!D20)</f>
        <v>16/IV</v>
      </c>
      <c r="M24" s="249"/>
      <c r="N24" s="239" t="str">
        <f>IF(Minták!H20="","",Minták!H20)</f>
        <v>Jyhjzbmb</v>
      </c>
      <c r="O24" s="238">
        <f t="shared" si="4"/>
        <v>40</v>
      </c>
      <c r="P24" s="238">
        <f t="shared" si="5"/>
        <v>40.032000000000039</v>
      </c>
      <c r="Q24" s="238">
        <f t="shared" si="6"/>
        <v>100</v>
      </c>
      <c r="R24" s="238" t="str">
        <f t="shared" si="3"/>
        <v>132</v>
      </c>
      <c r="S24" s="272"/>
    </row>
    <row r="25" spans="1:19" ht="17.100000000000001" customHeight="1" x14ac:dyDescent="0.25">
      <c r="L25" s="253"/>
      <c r="M25" s="249"/>
      <c r="N25" s="273" t="str">
        <f>A22</f>
        <v>QC1 (20)</v>
      </c>
      <c r="O25" s="238">
        <f t="shared" si="4"/>
        <v>40</v>
      </c>
      <c r="P25" s="238">
        <f t="shared" si="5"/>
        <v>40.034000000000042</v>
      </c>
      <c r="Q25" s="238">
        <f t="shared" si="6"/>
        <v>100</v>
      </c>
      <c r="R25" s="318">
        <f>E22</f>
        <v>139.91000000017098</v>
      </c>
      <c r="S25" s="272" t="str">
        <f>CONCATENATE(ROUND(F22,1),"%")</f>
        <v>699,6%</v>
      </c>
    </row>
    <row r="26" spans="1:19" ht="17.100000000000001" customHeight="1" thickBot="1" x14ac:dyDescent="0.3">
      <c r="L26" s="254"/>
      <c r="M26" s="255"/>
      <c r="N26" s="274"/>
      <c r="O26" s="258"/>
      <c r="P26" s="258"/>
      <c r="Q26" s="258"/>
      <c r="R26" s="258"/>
      <c r="S26" s="290"/>
    </row>
    <row r="27" spans="1:19" ht="17.100000000000001" customHeight="1" x14ac:dyDescent="0.25">
      <c r="A27" t="s">
        <v>24</v>
      </c>
      <c r="D27" t="s">
        <v>85</v>
      </c>
      <c r="F27" t="s">
        <v>87</v>
      </c>
    </row>
    <row r="28" spans="1:19" ht="17.100000000000001" customHeight="1" x14ac:dyDescent="0.25">
      <c r="A28" s="9">
        <v>45324</v>
      </c>
      <c r="D28" s="1" t="str">
        <f>Minták!DW20</f>
        <v>QC1 (20)</v>
      </c>
      <c r="F28" s="1">
        <f>Minták!DX20</f>
        <v>20</v>
      </c>
      <c r="Q28" s="15" t="s">
        <v>38</v>
      </c>
    </row>
    <row r="29" spans="1:19" ht="17.100000000000001" customHeight="1" x14ac:dyDescent="0.25">
      <c r="A29" t="s">
        <v>54</v>
      </c>
      <c r="B29" s="260">
        <f>Minták!DU20</f>
        <v>5</v>
      </c>
      <c r="D29" s="1" t="str">
        <f>Minták!DY20</f>
        <v>-</v>
      </c>
      <c r="F29" s="1" t="str">
        <f>Minták!DZ20</f>
        <v>-</v>
      </c>
    </row>
    <row r="30" spans="1:19" ht="17.100000000000001" customHeight="1" x14ac:dyDescent="0.25">
      <c r="A30" t="s">
        <v>55</v>
      </c>
      <c r="B30" s="1">
        <f>Minták!DV20</f>
        <v>0</v>
      </c>
      <c r="D30" s="1" t="str">
        <f>Minták!EA20</f>
        <v>-</v>
      </c>
      <c r="F30" s="1" t="str">
        <f>Minták!EB20</f>
        <v>-</v>
      </c>
    </row>
    <row r="31" spans="1:19" ht="17.100000000000001" customHeight="1" x14ac:dyDescent="0.25">
      <c r="A31" t="s">
        <v>135</v>
      </c>
      <c r="B31" s="1">
        <f>Minták!DT20</f>
        <v>100</v>
      </c>
    </row>
    <row r="32" spans="1:19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  <row r="39" ht="17.100000000000001" customHeight="1" x14ac:dyDescent="0.25"/>
    <row r="40" ht="17.100000000000001" customHeight="1" x14ac:dyDescent="0.25"/>
    <row r="41" ht="17.100000000000001" customHeight="1" x14ac:dyDescent="0.25"/>
    <row r="42" ht="17.100000000000001" customHeight="1" x14ac:dyDescent="0.25"/>
    <row r="43" ht="17.25" customHeight="1" x14ac:dyDescent="0.25"/>
    <row r="44" ht="17.25" customHeight="1" x14ac:dyDescent="0.25"/>
    <row r="45" ht="17.25" customHeight="1" x14ac:dyDescent="0.25"/>
    <row r="46" ht="17.25" customHeight="1" x14ac:dyDescent="0.25"/>
    <row r="47" ht="17.25" customHeight="1" x14ac:dyDescent="0.25"/>
    <row r="48" ht="17.25" customHeight="1" x14ac:dyDescent="0.25"/>
    <row r="49" ht="17.25" customHeight="1" x14ac:dyDescent="0.25"/>
    <row r="50" ht="17.25" customHeight="1" x14ac:dyDescent="0.25"/>
    <row r="51" ht="17.25" customHeight="1" x14ac:dyDescent="0.25"/>
    <row r="52" ht="17.25" customHeight="1" x14ac:dyDescent="0.25"/>
    <row r="53" ht="17.25" customHeight="1" x14ac:dyDescent="0.25"/>
    <row r="54" ht="17.25" customHeight="1" x14ac:dyDescent="0.25"/>
    <row r="55" ht="17.25" customHeight="1" x14ac:dyDescent="0.25"/>
    <row r="56" ht="17.25" customHeight="1" x14ac:dyDescent="0.25"/>
    <row r="57" ht="17.25" customHeight="1" x14ac:dyDescent="0.25"/>
    <row r="58" ht="17.25" customHeight="1" x14ac:dyDescent="0.25"/>
    <row r="59" ht="17.25" customHeight="1" x14ac:dyDescent="0.25"/>
    <row r="60" ht="17.25" customHeight="1" x14ac:dyDescent="0.25"/>
  </sheetData>
  <sheetProtection algorithmName="SHA-512" hashValue="DESM9FbbgdSPXP7XIY+uppFWvDEPO3P94KWJztxNvwseMEacXmxEISMXsC6J3ne2C4rz+JrHnEfhs/3KhNlSXg==" saltValue="5OIrIODROTXBzA14F4InqQ==" spinCount="100000" sheet="1" objects="1" scenarios="1"/>
  <mergeCells count="15">
    <mergeCell ref="A1:E2"/>
    <mergeCell ref="L1:M4"/>
    <mergeCell ref="N1:R4"/>
    <mergeCell ref="A3:A5"/>
    <mergeCell ref="P6:P8"/>
    <mergeCell ref="O6:O8"/>
    <mergeCell ref="L6:L8"/>
    <mergeCell ref="M6:M8"/>
    <mergeCell ref="N6:N8"/>
    <mergeCell ref="S6:S8"/>
    <mergeCell ref="B3:B5"/>
    <mergeCell ref="C3:C5"/>
    <mergeCell ref="D3:D5"/>
    <mergeCell ref="E3:E5"/>
    <mergeCell ref="Q6:Q8"/>
  </mergeCells>
  <pageMargins left="0.7" right="0.7" top="0.75" bottom="0.75" header="0.3" footer="0.3"/>
  <pageSetup paperSize="9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Munka13"/>
  <dimension ref="A1:P22"/>
  <sheetViews>
    <sheetView workbookViewId="0">
      <selection activeCell="B20" sqref="B20"/>
    </sheetView>
  </sheetViews>
  <sheetFormatPr defaultColWidth="9.140625" defaultRowHeight="18" customHeight="1" x14ac:dyDescent="0.25"/>
  <cols>
    <col min="1" max="1" width="37.28515625" customWidth="1"/>
    <col min="4" max="4" width="12.28515625" customWidth="1"/>
    <col min="10" max="10" width="18.28515625" customWidth="1"/>
  </cols>
  <sheetData>
    <row r="1" spans="1:16" ht="18" customHeight="1" x14ac:dyDescent="0.25">
      <c r="A1" s="780" t="s">
        <v>63</v>
      </c>
      <c r="B1" s="780"/>
      <c r="C1" s="780"/>
      <c r="D1" s="780"/>
      <c r="E1" s="780"/>
      <c r="F1" s="780"/>
      <c r="G1" s="780"/>
      <c r="H1" s="780"/>
      <c r="I1" s="780"/>
      <c r="J1" s="779" t="s">
        <v>69</v>
      </c>
      <c r="K1" s="779"/>
      <c r="L1" s="779"/>
      <c r="M1" s="779"/>
      <c r="N1" s="779"/>
      <c r="O1" s="779"/>
      <c r="P1" s="779"/>
    </row>
    <row r="2" spans="1:16" ht="18" customHeight="1" thickBot="1" x14ac:dyDescent="0.3">
      <c r="A2" s="780"/>
      <c r="B2" s="780"/>
      <c r="C2" s="780"/>
      <c r="D2" s="780"/>
      <c r="E2" s="780"/>
      <c r="F2" s="780"/>
      <c r="G2" s="780"/>
      <c r="H2" s="780"/>
      <c r="I2" s="780"/>
      <c r="J2" s="779"/>
      <c r="K2" s="779"/>
      <c r="L2" s="779"/>
      <c r="M2" s="779"/>
      <c r="N2" s="779"/>
      <c r="O2" s="779"/>
      <c r="P2" s="779"/>
    </row>
    <row r="3" spans="1:16" ht="18" customHeight="1" x14ac:dyDescent="0.25">
      <c r="A3" s="507" t="s">
        <v>2</v>
      </c>
      <c r="B3" s="507" t="s">
        <v>235</v>
      </c>
      <c r="C3" s="507" t="s">
        <v>236</v>
      </c>
      <c r="D3" s="507" t="s">
        <v>237</v>
      </c>
      <c r="E3" s="507" t="s">
        <v>239</v>
      </c>
      <c r="F3" s="507" t="s">
        <v>14</v>
      </c>
      <c r="G3" s="507"/>
      <c r="H3" s="507"/>
      <c r="I3" s="507"/>
    </row>
    <row r="4" spans="1:16" ht="18" customHeight="1" x14ac:dyDescent="0.25">
      <c r="A4" s="508"/>
      <c r="B4" s="508"/>
      <c r="C4" s="508"/>
      <c r="D4" s="508"/>
      <c r="E4" s="508"/>
      <c r="F4" s="508"/>
      <c r="G4" s="508"/>
      <c r="H4" s="508"/>
      <c r="I4" s="508"/>
    </row>
    <row r="5" spans="1:16" ht="18" customHeight="1" x14ac:dyDescent="0.25">
      <c r="A5" s="508"/>
      <c r="B5" s="508"/>
      <c r="C5" s="508"/>
      <c r="D5" s="508"/>
      <c r="E5" s="508"/>
      <c r="F5" s="508"/>
      <c r="G5" s="508"/>
      <c r="H5" s="508"/>
      <c r="I5" s="508"/>
    </row>
    <row r="6" spans="1:16" ht="18" customHeight="1" x14ac:dyDescent="0.25">
      <c r="A6" s="508"/>
      <c r="B6" s="508"/>
      <c r="C6" s="508"/>
      <c r="D6" s="508"/>
      <c r="E6" s="508"/>
      <c r="F6" s="508"/>
      <c r="G6" s="508"/>
      <c r="H6" s="508"/>
      <c r="I6" s="508"/>
    </row>
    <row r="7" spans="1:16" ht="18" customHeight="1" x14ac:dyDescent="0.25">
      <c r="A7" s="3" t="str">
        <f>Minták!W5</f>
        <v>1/IV-Nhhlz</v>
      </c>
      <c r="B7" s="4" t="s">
        <v>981</v>
      </c>
      <c r="C7" s="4" t="s">
        <v>982</v>
      </c>
      <c r="D7" s="4" t="s">
        <v>983</v>
      </c>
      <c r="E7" s="3" t="s">
        <v>44</v>
      </c>
      <c r="F7" s="3" t="s">
        <v>44</v>
      </c>
      <c r="G7" s="3" t="s">
        <v>44</v>
      </c>
      <c r="H7" s="3" t="s">
        <v>44</v>
      </c>
      <c r="I7" s="3" t="s">
        <v>44</v>
      </c>
    </row>
    <row r="8" spans="1:16" ht="18" customHeight="1" x14ac:dyDescent="0.25">
      <c r="A8" s="3" t="str">
        <f>Minták!W6</f>
        <v>2/IV-ADATOT BEÍRNI</v>
      </c>
      <c r="B8" s="4" t="s">
        <v>981</v>
      </c>
      <c r="C8" s="4" t="s">
        <v>982</v>
      </c>
      <c r="D8" s="4" t="s">
        <v>983</v>
      </c>
      <c r="E8" s="3" t="s">
        <v>44</v>
      </c>
      <c r="F8" s="3" t="s">
        <v>44</v>
      </c>
      <c r="G8" s="3" t="s">
        <v>44</v>
      </c>
      <c r="H8" s="3" t="s">
        <v>44</v>
      </c>
      <c r="I8" s="3" t="s">
        <v>44</v>
      </c>
    </row>
    <row r="9" spans="1:16" ht="18" customHeight="1" x14ac:dyDescent="0.25">
      <c r="A9" s="3" t="str">
        <f>Minták!W7</f>
        <v>3/KIV-ADATOT BEÍRNI</v>
      </c>
      <c r="B9" s="4" t="s">
        <v>981</v>
      </c>
      <c r="C9" s="4" t="s">
        <v>982</v>
      </c>
      <c r="D9" s="4" t="s">
        <v>983</v>
      </c>
      <c r="E9" s="3" t="s">
        <v>44</v>
      </c>
      <c r="F9" s="3" t="s">
        <v>44</v>
      </c>
      <c r="G9" s="3" t="s">
        <v>44</v>
      </c>
      <c r="H9" s="3" t="s">
        <v>44</v>
      </c>
      <c r="I9" s="3" t="s">
        <v>44</v>
      </c>
    </row>
    <row r="10" spans="1:16" ht="18" customHeight="1" x14ac:dyDescent="0.25">
      <c r="A10" s="3" t="str">
        <f>Minták!W8</f>
        <v>4/IV-Ebnxscqc</v>
      </c>
      <c r="B10" s="4" t="s">
        <v>981</v>
      </c>
      <c r="C10" s="4" t="s">
        <v>982</v>
      </c>
      <c r="D10" s="4" t="s">
        <v>983</v>
      </c>
      <c r="E10" s="3" t="s">
        <v>44</v>
      </c>
      <c r="F10" s="3" t="s">
        <v>44</v>
      </c>
      <c r="G10" s="3" t="s">
        <v>44</v>
      </c>
      <c r="H10" s="3" t="s">
        <v>44</v>
      </c>
      <c r="I10" s="3" t="s">
        <v>44</v>
      </c>
    </row>
    <row r="11" spans="1:16" ht="18" customHeight="1" x14ac:dyDescent="0.25">
      <c r="A11" s="3" t="str">
        <f>Minták!W9</f>
        <v>5/IV-Ubqpva</v>
      </c>
      <c r="B11" s="4" t="s">
        <v>981</v>
      </c>
      <c r="C11" s="4" t="s">
        <v>982</v>
      </c>
      <c r="D11" s="4" t="s">
        <v>983</v>
      </c>
      <c r="E11" s="3" t="s">
        <v>44</v>
      </c>
      <c r="F11" s="3" t="s">
        <v>44</v>
      </c>
      <c r="G11" s="3" t="s">
        <v>44</v>
      </c>
      <c r="H11" s="3" t="s">
        <v>44</v>
      </c>
      <c r="I11" s="3" t="s">
        <v>44</v>
      </c>
    </row>
    <row r="12" spans="1:16" ht="18" customHeight="1" x14ac:dyDescent="0.25">
      <c r="A12" s="3" t="str">
        <f>Minták!W10</f>
        <v>6/IV-Eouypz</v>
      </c>
      <c r="B12" s="4" t="s">
        <v>981</v>
      </c>
      <c r="C12" s="4" t="s">
        <v>982</v>
      </c>
      <c r="D12" s="4" t="s">
        <v>983</v>
      </c>
      <c r="E12" s="3" t="s">
        <v>44</v>
      </c>
      <c r="F12" s="3" t="s">
        <v>44</v>
      </c>
      <c r="G12" s="3" t="s">
        <v>44</v>
      </c>
      <c r="H12" s="3" t="s">
        <v>44</v>
      </c>
      <c r="I12" s="3" t="s">
        <v>44</v>
      </c>
    </row>
    <row r="13" spans="1:16" ht="18" customHeight="1" x14ac:dyDescent="0.25">
      <c r="A13" s="3" t="str">
        <f>Minták!W11</f>
        <v>7/IV-Rkohqy</v>
      </c>
      <c r="B13" s="4" t="s">
        <v>981</v>
      </c>
      <c r="C13" s="4" t="s">
        <v>982</v>
      </c>
      <c r="D13" s="4" t="s">
        <v>983</v>
      </c>
      <c r="E13" s="3" t="s">
        <v>44</v>
      </c>
      <c r="F13" s="3" t="s">
        <v>44</v>
      </c>
      <c r="G13" s="3" t="s">
        <v>44</v>
      </c>
      <c r="H13" s="3" t="s">
        <v>44</v>
      </c>
      <c r="I13" s="3" t="s">
        <v>44</v>
      </c>
    </row>
    <row r="14" spans="1:16" ht="18" customHeight="1" x14ac:dyDescent="0.25">
      <c r="A14" s="3" t="str">
        <f>Minták!W12</f>
        <v>8/IV-Vxhhmc</v>
      </c>
      <c r="B14" s="4" t="s">
        <v>981</v>
      </c>
      <c r="C14" s="4" t="s">
        <v>982</v>
      </c>
      <c r="D14" s="4" t="s">
        <v>983</v>
      </c>
      <c r="E14" s="3" t="s">
        <v>44</v>
      </c>
      <c r="F14" s="3" t="s">
        <v>44</v>
      </c>
      <c r="G14" s="3" t="s">
        <v>44</v>
      </c>
      <c r="H14" s="3" t="s">
        <v>44</v>
      </c>
      <c r="I14" s="3" t="s">
        <v>44</v>
      </c>
    </row>
    <row r="15" spans="1:16" ht="18" customHeight="1" x14ac:dyDescent="0.25">
      <c r="A15" s="3" t="str">
        <f>Minták!W13</f>
        <v>9/IV-Msdxtl</v>
      </c>
      <c r="B15" s="4" t="s">
        <v>981</v>
      </c>
      <c r="C15" s="4" t="s">
        <v>982</v>
      </c>
      <c r="D15" s="4" t="s">
        <v>983</v>
      </c>
      <c r="E15" s="3" t="s">
        <v>44</v>
      </c>
      <c r="F15" s="3" t="s">
        <v>44</v>
      </c>
      <c r="G15" s="3" t="s">
        <v>44</v>
      </c>
      <c r="H15" s="3" t="s">
        <v>44</v>
      </c>
      <c r="I15" s="3" t="s">
        <v>44</v>
      </c>
    </row>
    <row r="16" spans="1:16" ht="18" customHeight="1" x14ac:dyDescent="0.25">
      <c r="A16" s="3" t="str">
        <f>Minták!W14</f>
        <v>10/IV-Qoldnt</v>
      </c>
      <c r="B16" s="4" t="s">
        <v>981</v>
      </c>
      <c r="C16" s="4" t="s">
        <v>982</v>
      </c>
      <c r="D16" s="4" t="s">
        <v>983</v>
      </c>
      <c r="E16" s="3" t="s">
        <v>44</v>
      </c>
      <c r="F16" s="3" t="s">
        <v>44</v>
      </c>
      <c r="G16" s="3" t="s">
        <v>44</v>
      </c>
      <c r="H16" s="3" t="s">
        <v>44</v>
      </c>
      <c r="I16" s="3" t="s">
        <v>44</v>
      </c>
    </row>
    <row r="17" spans="1:9" ht="18" customHeight="1" x14ac:dyDescent="0.25">
      <c r="A17" s="3" t="str">
        <f>Minták!W15</f>
        <v>11/IV-Qnvptf</v>
      </c>
      <c r="B17" s="4" t="s">
        <v>981</v>
      </c>
      <c r="C17" s="4" t="s">
        <v>982</v>
      </c>
      <c r="D17" s="4" t="s">
        <v>983</v>
      </c>
      <c r="E17" s="3" t="s">
        <v>44</v>
      </c>
      <c r="F17" s="3" t="s">
        <v>44</v>
      </c>
      <c r="G17" s="3" t="s">
        <v>44</v>
      </c>
      <c r="H17" s="3" t="s">
        <v>44</v>
      </c>
      <c r="I17" s="3" t="s">
        <v>44</v>
      </c>
    </row>
    <row r="18" spans="1:9" ht="18" customHeight="1" x14ac:dyDescent="0.25">
      <c r="A18" s="3" t="str">
        <f>Minták!W16</f>
        <v>12/IV-Lebdoq</v>
      </c>
      <c r="B18" s="4" t="s">
        <v>981</v>
      </c>
      <c r="C18" s="4" t="s">
        <v>982</v>
      </c>
      <c r="D18" s="4" t="s">
        <v>983</v>
      </c>
      <c r="E18" s="3" t="s">
        <v>44</v>
      </c>
      <c r="F18" s="3" t="s">
        <v>44</v>
      </c>
      <c r="G18" s="3" t="s">
        <v>44</v>
      </c>
      <c r="H18" s="3" t="s">
        <v>44</v>
      </c>
      <c r="I18" s="3" t="s">
        <v>44</v>
      </c>
    </row>
    <row r="19" spans="1:9" ht="18" customHeight="1" x14ac:dyDescent="0.25">
      <c r="A19" s="3" t="str">
        <f>Minták!W17</f>
        <v>13/IV-Askfua</v>
      </c>
      <c r="B19" s="4" t="s">
        <v>981</v>
      </c>
      <c r="C19" s="4" t="s">
        <v>982</v>
      </c>
      <c r="D19" s="4" t="s">
        <v>983</v>
      </c>
      <c r="E19" s="3" t="s">
        <v>44</v>
      </c>
      <c r="F19" s="3" t="s">
        <v>44</v>
      </c>
      <c r="G19" s="3" t="s">
        <v>44</v>
      </c>
      <c r="H19" s="3" t="s">
        <v>44</v>
      </c>
      <c r="I19" s="3" t="s">
        <v>44</v>
      </c>
    </row>
    <row r="20" spans="1:9" ht="18" customHeight="1" x14ac:dyDescent="0.25">
      <c r="A20" s="3" t="str">
        <f>Minták!W18</f>
        <v>14/IV-Mcsjny</v>
      </c>
      <c r="B20" s="4" t="s">
        <v>981</v>
      </c>
      <c r="C20" s="4" t="s">
        <v>982</v>
      </c>
      <c r="D20" s="4" t="s">
        <v>983</v>
      </c>
      <c r="E20" s="3" t="s">
        <v>44</v>
      </c>
      <c r="F20" s="3" t="s">
        <v>44</v>
      </c>
      <c r="G20" s="3" t="s">
        <v>44</v>
      </c>
      <c r="H20" s="3" t="s">
        <v>44</v>
      </c>
      <c r="I20" s="3" t="s">
        <v>44</v>
      </c>
    </row>
    <row r="21" spans="1:9" ht="18" customHeight="1" x14ac:dyDescent="0.25">
      <c r="A21" s="3" t="str">
        <f>Minták!W19</f>
        <v>15/IV-Rskdom</v>
      </c>
      <c r="B21" s="4" t="s">
        <v>981</v>
      </c>
      <c r="C21" s="4" t="s">
        <v>982</v>
      </c>
      <c r="D21" s="4" t="s">
        <v>983</v>
      </c>
      <c r="E21" s="3" t="s">
        <v>44</v>
      </c>
      <c r="F21" s="3" t="s">
        <v>44</v>
      </c>
      <c r="G21" s="3" t="s">
        <v>44</v>
      </c>
      <c r="H21" s="3" t="s">
        <v>44</v>
      </c>
      <c r="I21" s="3" t="s">
        <v>44</v>
      </c>
    </row>
    <row r="22" spans="1:9" ht="18" customHeight="1" x14ac:dyDescent="0.25">
      <c r="A22" s="3" t="str">
        <f>Minták!W20</f>
        <v>16/IV-Jyhjzbmb</v>
      </c>
      <c r="B22" s="4" t="s">
        <v>981</v>
      </c>
      <c r="C22" s="4" t="s">
        <v>982</v>
      </c>
      <c r="D22" s="4" t="s">
        <v>983</v>
      </c>
      <c r="E22" s="3" t="s">
        <v>44</v>
      </c>
      <c r="F22" s="3" t="s">
        <v>44</v>
      </c>
      <c r="G22" s="3" t="s">
        <v>44</v>
      </c>
      <c r="H22" s="3" t="s">
        <v>44</v>
      </c>
      <c r="I22" s="3" t="s">
        <v>44</v>
      </c>
    </row>
  </sheetData>
  <mergeCells count="11">
    <mergeCell ref="J1:P2"/>
    <mergeCell ref="I3:I6"/>
    <mergeCell ref="A1:I2"/>
    <mergeCell ref="A3:A6"/>
    <mergeCell ref="B3:B6"/>
    <mergeCell ref="C3:C6"/>
    <mergeCell ref="D3:D6"/>
    <mergeCell ref="E3:E6"/>
    <mergeCell ref="G3:G6"/>
    <mergeCell ref="H3:H6"/>
    <mergeCell ref="F3:F6"/>
  </mergeCells>
  <pageMargins left="0.7" right="0.7" top="0.75" bottom="0.75" header="0.3" footer="0.3"/>
  <pageSetup paperSize="9" orientation="landscape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A732F-91FE-4AF7-A9C9-B0A139B0CF8E}">
  <sheetPr codeName="Munka15"/>
  <dimension ref="A1:BK99"/>
  <sheetViews>
    <sheetView topLeftCell="W1" zoomScale="85" zoomScaleNormal="85" workbookViewId="0">
      <pane ySplit="2" topLeftCell="A73" activePane="bottomLeft" state="frozen"/>
      <selection activeCell="X1" sqref="X1"/>
      <selection pane="bottomLeft" activeCell="AH81" sqref="AH81"/>
    </sheetView>
  </sheetViews>
  <sheetFormatPr defaultRowHeight="14.45" customHeight="1" x14ac:dyDescent="0.25"/>
  <cols>
    <col min="1" max="1" width="12.42578125" customWidth="1"/>
    <col min="3" max="3" width="12.7109375" bestFit="1" customWidth="1"/>
    <col min="4" max="4" width="41" bestFit="1" customWidth="1"/>
    <col min="5" max="7" width="8.85546875" customWidth="1"/>
    <col min="8" max="8" width="11.5703125" bestFit="1" customWidth="1"/>
    <col min="9" max="9" width="16.5703125" customWidth="1"/>
    <col min="10" max="11" width="8.85546875" customWidth="1"/>
    <col min="12" max="12" width="13.28515625" bestFit="1" customWidth="1"/>
    <col min="13" max="13" width="8.85546875" customWidth="1"/>
    <col min="14" max="14" width="12.140625" bestFit="1" customWidth="1"/>
    <col min="15" max="17" width="12.140625" customWidth="1"/>
    <col min="18" max="18" width="14.42578125" bestFit="1" customWidth="1"/>
    <col min="19" max="20" width="12.140625" customWidth="1"/>
    <col min="21" max="21" width="16.28515625" bestFit="1" customWidth="1"/>
    <col min="22" max="23" width="12.140625" customWidth="1"/>
    <col min="25" max="25" width="55.85546875" bestFit="1" customWidth="1"/>
    <col min="26" max="26" width="55.85546875" customWidth="1"/>
    <col min="27" max="27" width="19.7109375" customWidth="1"/>
    <col min="28" max="28" width="54.28515625" customWidth="1"/>
    <col min="29" max="29" width="14" bestFit="1" customWidth="1"/>
    <col min="30" max="30" width="9" bestFit="1" customWidth="1"/>
    <col min="31" max="31" width="7.28515625" bestFit="1" customWidth="1"/>
    <col min="32" max="32" width="9" bestFit="1" customWidth="1"/>
    <col min="33" max="33" width="10.42578125" bestFit="1" customWidth="1"/>
    <col min="34" max="34" width="22.85546875" bestFit="1" customWidth="1"/>
    <col min="35" max="35" width="13.42578125" bestFit="1" customWidth="1"/>
    <col min="36" max="36" width="11.28515625" bestFit="1" customWidth="1"/>
  </cols>
  <sheetData>
    <row r="1" spans="1:63" ht="14.45" customHeight="1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</row>
    <row r="2" spans="1:63" ht="14.45" customHeight="1" x14ac:dyDescent="0.25">
      <c r="A2" s="27" t="s">
        <v>294</v>
      </c>
      <c r="C2" s="27" t="s">
        <v>295</v>
      </c>
      <c r="F2" s="27" t="s">
        <v>280</v>
      </c>
      <c r="H2" s="27" t="s">
        <v>300</v>
      </c>
      <c r="I2" s="27" t="s">
        <v>866</v>
      </c>
      <c r="L2" s="27" t="s">
        <v>301</v>
      </c>
      <c r="N2" s="27" t="s">
        <v>282</v>
      </c>
      <c r="O2" s="15"/>
      <c r="P2" s="27" t="s">
        <v>311</v>
      </c>
      <c r="Q2" s="15"/>
      <c r="R2" s="27" t="s">
        <v>314</v>
      </c>
      <c r="S2" s="15"/>
      <c r="T2" s="27" t="s">
        <v>310</v>
      </c>
      <c r="U2" s="27" t="s">
        <v>866</v>
      </c>
      <c r="V2" s="15"/>
      <c r="W2" s="15"/>
      <c r="Y2" s="32" t="s">
        <v>283</v>
      </c>
      <c r="Z2" s="32" t="s">
        <v>705</v>
      </c>
      <c r="AA2" s="27" t="s">
        <v>282</v>
      </c>
      <c r="AB2" s="32" t="s">
        <v>704</v>
      </c>
      <c r="AC2" s="33" t="s">
        <v>278</v>
      </c>
      <c r="AD2" s="33" t="s">
        <v>279</v>
      </c>
      <c r="AE2" s="33" t="s">
        <v>280</v>
      </c>
      <c r="AF2" s="33" t="s">
        <v>281</v>
      </c>
      <c r="AG2" s="33" t="s">
        <v>298</v>
      </c>
      <c r="AH2" s="29" t="s">
        <v>297</v>
      </c>
      <c r="AI2" s="34" t="s">
        <v>284</v>
      </c>
      <c r="AJ2" s="33" t="s">
        <v>313</v>
      </c>
      <c r="AN2" s="40" t="s">
        <v>700</v>
      </c>
      <c r="AO2" s="338" t="s">
        <v>768</v>
      </c>
      <c r="AP2" s="338" t="s">
        <v>767</v>
      </c>
      <c r="AQ2" s="338" t="s">
        <v>766</v>
      </c>
      <c r="AR2" s="338" t="s">
        <v>779</v>
      </c>
      <c r="AS2" s="338" t="s">
        <v>769</v>
      </c>
      <c r="AT2" s="338" t="s">
        <v>771</v>
      </c>
      <c r="AU2" s="338" t="s">
        <v>765</v>
      </c>
      <c r="AV2" s="338" t="s">
        <v>780</v>
      </c>
      <c r="AW2" s="338" t="s">
        <v>772</v>
      </c>
      <c r="AX2" s="338" t="s">
        <v>826</v>
      </c>
      <c r="AY2" s="338" t="s">
        <v>827</v>
      </c>
      <c r="AZ2" s="338" t="s">
        <v>775</v>
      </c>
      <c r="BA2" s="338" t="s">
        <v>773</v>
      </c>
      <c r="BB2" s="338" t="s">
        <v>781</v>
      </c>
      <c r="BC2" s="338" t="s">
        <v>776</v>
      </c>
      <c r="BD2" s="338" t="s">
        <v>777</v>
      </c>
      <c r="BE2" s="338" t="s">
        <v>778</v>
      </c>
      <c r="BF2" s="338" t="s">
        <v>774</v>
      </c>
      <c r="BG2" s="338" t="s">
        <v>782</v>
      </c>
      <c r="BH2" s="338" t="s">
        <v>783</v>
      </c>
      <c r="BI2" s="338" t="s">
        <v>784</v>
      </c>
      <c r="BJ2" s="338" t="s">
        <v>858</v>
      </c>
      <c r="BK2" s="30"/>
    </row>
    <row r="3" spans="1:63" ht="14.45" customHeight="1" x14ac:dyDescent="0.25">
      <c r="A3" s="26" t="s">
        <v>129</v>
      </c>
      <c r="C3" s="1">
        <v>20511827</v>
      </c>
      <c r="D3" s="5" t="s">
        <v>296</v>
      </c>
      <c r="E3" s="5"/>
      <c r="F3" s="1" t="s">
        <v>275</v>
      </c>
      <c r="G3" s="5"/>
      <c r="H3" s="1">
        <v>21889495</v>
      </c>
      <c r="I3" s="1" t="s">
        <v>958</v>
      </c>
      <c r="J3" s="5" t="s">
        <v>299</v>
      </c>
      <c r="K3" s="5"/>
      <c r="L3" s="1" t="s">
        <v>276</v>
      </c>
      <c r="M3" s="5" t="s">
        <v>968</v>
      </c>
      <c r="N3" s="1" t="s">
        <v>286</v>
      </c>
      <c r="P3" s="1" t="s">
        <v>129</v>
      </c>
      <c r="R3" s="1" t="s">
        <v>277</v>
      </c>
      <c r="T3" s="1">
        <v>21889495</v>
      </c>
      <c r="U3" s="1" t="s">
        <v>958</v>
      </c>
      <c r="V3" s="5" t="s">
        <v>299</v>
      </c>
      <c r="Y3" s="26" t="s">
        <v>44</v>
      </c>
      <c r="Z3" s="26" t="s">
        <v>44</v>
      </c>
      <c r="AA3" s="26" t="s">
        <v>44</v>
      </c>
      <c r="AB3" s="26" t="s">
        <v>44</v>
      </c>
      <c r="AC3" s="42" t="s">
        <v>44</v>
      </c>
      <c r="AD3" s="42" t="s">
        <v>44</v>
      </c>
      <c r="AE3" s="42" t="s">
        <v>44</v>
      </c>
      <c r="AF3" s="42" t="s">
        <v>44</v>
      </c>
      <c r="AG3" s="42" t="s">
        <v>44</v>
      </c>
      <c r="AH3" s="26" t="s">
        <v>44</v>
      </c>
      <c r="AI3" s="42" t="s">
        <v>44</v>
      </c>
      <c r="AJ3" s="26" t="s">
        <v>44</v>
      </c>
      <c r="AN3" s="26" t="s">
        <v>60</v>
      </c>
      <c r="AO3" s="1" t="s">
        <v>44</v>
      </c>
      <c r="AP3" s="1" t="s">
        <v>44</v>
      </c>
      <c r="AQ3" s="1" t="s">
        <v>44</v>
      </c>
      <c r="AR3" s="1" t="s">
        <v>44</v>
      </c>
      <c r="AS3" s="1" t="s">
        <v>44</v>
      </c>
      <c r="AT3" s="1" t="s">
        <v>44</v>
      </c>
      <c r="AU3" s="1" t="s">
        <v>44</v>
      </c>
      <c r="AV3" s="1" t="s">
        <v>44</v>
      </c>
      <c r="AW3" s="1" t="s">
        <v>44</v>
      </c>
      <c r="AX3" s="1" t="s">
        <v>44</v>
      </c>
      <c r="AY3" s="1" t="s">
        <v>44</v>
      </c>
      <c r="AZ3" s="1" t="s">
        <v>44</v>
      </c>
      <c r="BA3" s="1" t="s">
        <v>44</v>
      </c>
      <c r="BB3" s="1" t="s">
        <v>44</v>
      </c>
      <c r="BC3" s="1" t="s">
        <v>44</v>
      </c>
      <c r="BD3" s="1" t="s">
        <v>44</v>
      </c>
      <c r="BE3" s="1" t="s">
        <v>44</v>
      </c>
      <c r="BF3" s="1" t="s">
        <v>44</v>
      </c>
      <c r="BG3" s="1" t="s">
        <v>44</v>
      </c>
      <c r="BH3" s="1" t="s">
        <v>44</v>
      </c>
      <c r="BI3" s="1" t="s">
        <v>44</v>
      </c>
      <c r="BJ3" s="1" t="s">
        <v>44</v>
      </c>
      <c r="BK3" s="30"/>
    </row>
    <row r="4" spans="1:63" ht="14.45" customHeight="1" x14ac:dyDescent="0.25">
      <c r="A4" s="26" t="s">
        <v>287</v>
      </c>
      <c r="C4" s="1" t="s">
        <v>60</v>
      </c>
      <c r="D4" s="5" t="s">
        <v>292</v>
      </c>
      <c r="E4" s="5"/>
      <c r="F4" s="1" t="s">
        <v>60</v>
      </c>
      <c r="G4" s="5"/>
      <c r="H4" s="1">
        <v>20479120</v>
      </c>
      <c r="I4" s="1" t="s">
        <v>953</v>
      </c>
      <c r="J4" s="5" t="s">
        <v>952</v>
      </c>
      <c r="K4" s="5"/>
      <c r="L4" s="1" t="s">
        <v>302</v>
      </c>
      <c r="M4" s="5" t="s">
        <v>969</v>
      </c>
      <c r="N4" s="26" t="s">
        <v>288</v>
      </c>
      <c r="O4" s="15"/>
      <c r="P4" s="26" t="s">
        <v>312</v>
      </c>
      <c r="Q4" s="15"/>
      <c r="R4" s="1" t="s">
        <v>315</v>
      </c>
      <c r="S4" s="15"/>
      <c r="T4" s="1">
        <v>20479120</v>
      </c>
      <c r="U4" s="1" t="s">
        <v>953</v>
      </c>
      <c r="V4" s="5" t="s">
        <v>952</v>
      </c>
      <c r="W4" s="15"/>
      <c r="Y4" s="26" t="s">
        <v>293</v>
      </c>
      <c r="Z4" s="35" t="s">
        <v>304</v>
      </c>
      <c r="AA4" s="35" t="s">
        <v>304</v>
      </c>
      <c r="AB4" s="35" t="s">
        <v>304</v>
      </c>
      <c r="AC4" s="41" t="s">
        <v>304</v>
      </c>
      <c r="AD4" s="22">
        <v>20511827</v>
      </c>
      <c r="AE4" s="22" t="s">
        <v>275</v>
      </c>
      <c r="AF4" s="25">
        <v>21889495</v>
      </c>
      <c r="AG4" s="22" t="s">
        <v>303</v>
      </c>
      <c r="AH4" s="35" t="s">
        <v>304</v>
      </c>
      <c r="AI4" s="28" t="s">
        <v>60</v>
      </c>
      <c r="AJ4" s="1" t="s">
        <v>129</v>
      </c>
      <c r="AN4" s="1" t="s">
        <v>81</v>
      </c>
      <c r="AO4" s="1" t="s">
        <v>723</v>
      </c>
      <c r="AP4" s="1" t="s">
        <v>44</v>
      </c>
      <c r="AQ4" s="1" t="s">
        <v>723</v>
      </c>
      <c r="AR4" s="1" t="s">
        <v>44</v>
      </c>
      <c r="AS4" s="1" t="s">
        <v>44</v>
      </c>
      <c r="AT4" s="1" t="s">
        <v>723</v>
      </c>
      <c r="AU4" s="1" t="s">
        <v>723</v>
      </c>
      <c r="AV4" s="1" t="s">
        <v>723</v>
      </c>
      <c r="AW4" s="1" t="s">
        <v>723</v>
      </c>
      <c r="AX4" s="1" t="s">
        <v>44</v>
      </c>
      <c r="AY4" s="1" t="s">
        <v>723</v>
      </c>
      <c r="AZ4" s="1" t="s">
        <v>44</v>
      </c>
      <c r="BA4" s="1" t="s">
        <v>44</v>
      </c>
      <c r="BB4" s="1" t="s">
        <v>44</v>
      </c>
      <c r="BC4" s="1" t="s">
        <v>44</v>
      </c>
      <c r="BD4" s="1" t="s">
        <v>44</v>
      </c>
      <c r="BE4" s="1" t="s">
        <v>44</v>
      </c>
      <c r="BF4" s="1" t="s">
        <v>44</v>
      </c>
      <c r="BG4" s="1" t="s">
        <v>723</v>
      </c>
      <c r="BH4" s="1" t="s">
        <v>723</v>
      </c>
      <c r="BI4" s="1" t="s">
        <v>723</v>
      </c>
      <c r="BJ4" s="1" t="s">
        <v>44</v>
      </c>
      <c r="BK4" s="30"/>
    </row>
    <row r="5" spans="1:63" ht="14.45" customHeight="1" x14ac:dyDescent="0.25">
      <c r="A5" s="26" t="s">
        <v>290</v>
      </c>
      <c r="C5" s="30" t="s">
        <v>44</v>
      </c>
      <c r="D5" s="30" t="s">
        <v>44</v>
      </c>
      <c r="F5" s="30" t="s">
        <v>44</v>
      </c>
      <c r="H5" s="1">
        <v>21889737</v>
      </c>
      <c r="I5" s="1" t="s">
        <v>955</v>
      </c>
      <c r="J5" s="5" t="s">
        <v>954</v>
      </c>
      <c r="L5" s="1" t="s">
        <v>303</v>
      </c>
      <c r="M5" s="5" t="s">
        <v>371</v>
      </c>
      <c r="N5" s="26" t="s">
        <v>289</v>
      </c>
      <c r="O5" s="15"/>
      <c r="P5" s="30" t="s">
        <v>44</v>
      </c>
      <c r="Q5" s="15"/>
      <c r="R5" s="26" t="s">
        <v>60</v>
      </c>
      <c r="S5" s="15"/>
      <c r="T5" s="1">
        <v>21889737</v>
      </c>
      <c r="U5" s="1" t="s">
        <v>955</v>
      </c>
      <c r="V5" s="5" t="s">
        <v>954</v>
      </c>
      <c r="W5" s="15"/>
      <c r="Y5" s="26" t="s">
        <v>291</v>
      </c>
      <c r="Z5" s="35" t="s">
        <v>304</v>
      </c>
      <c r="AA5" s="7" t="s">
        <v>291</v>
      </c>
      <c r="AB5" s="35" t="s">
        <v>304</v>
      </c>
      <c r="AC5" s="22" t="s">
        <v>60</v>
      </c>
      <c r="AD5" s="22" t="s">
        <v>60</v>
      </c>
      <c r="AE5" s="22" t="s">
        <v>60</v>
      </c>
      <c r="AF5" s="25">
        <v>21889495</v>
      </c>
      <c r="AG5" s="22" t="s">
        <v>60</v>
      </c>
      <c r="AH5" s="24" t="s">
        <v>309</v>
      </c>
      <c r="AI5" s="28" t="s">
        <v>60</v>
      </c>
      <c r="AJ5" s="1" t="s">
        <v>312</v>
      </c>
      <c r="AN5" s="1" t="s">
        <v>837</v>
      </c>
      <c r="AO5" s="1" t="s">
        <v>44</v>
      </c>
      <c r="AP5" s="1" t="s">
        <v>723</v>
      </c>
      <c r="AQ5" s="1" t="s">
        <v>44</v>
      </c>
      <c r="AR5" s="1" t="s">
        <v>723</v>
      </c>
      <c r="AS5" s="1" t="s">
        <v>723</v>
      </c>
      <c r="AT5" s="1" t="s">
        <v>44</v>
      </c>
      <c r="AU5" s="1" t="s">
        <v>44</v>
      </c>
      <c r="AV5" s="1" t="s">
        <v>44</v>
      </c>
      <c r="AW5" s="1" t="s">
        <v>44</v>
      </c>
      <c r="AX5" s="1" t="s">
        <v>44</v>
      </c>
      <c r="AY5" s="1" t="s">
        <v>44</v>
      </c>
      <c r="AZ5" s="1" t="s">
        <v>44</v>
      </c>
      <c r="BA5" s="1" t="s">
        <v>44</v>
      </c>
      <c r="BB5" s="1" t="s">
        <v>44</v>
      </c>
      <c r="BC5" s="1" t="s">
        <v>44</v>
      </c>
      <c r="BD5" s="1" t="s">
        <v>44</v>
      </c>
      <c r="BE5" s="1" t="s">
        <v>44</v>
      </c>
      <c r="BF5" s="1" t="s">
        <v>44</v>
      </c>
      <c r="BG5" s="1" t="s">
        <v>44</v>
      </c>
      <c r="BH5" s="1" t="s">
        <v>44</v>
      </c>
      <c r="BI5" s="1" t="s">
        <v>44</v>
      </c>
      <c r="BJ5" s="1" t="s">
        <v>44</v>
      </c>
      <c r="BK5" s="30"/>
    </row>
    <row r="6" spans="1:63" ht="14.45" customHeight="1" x14ac:dyDescent="0.25">
      <c r="A6" s="26" t="s">
        <v>60</v>
      </c>
      <c r="H6" s="1">
        <v>21884171</v>
      </c>
      <c r="I6" s="1" t="s">
        <v>957</v>
      </c>
      <c r="J6" s="5" t="s">
        <v>956</v>
      </c>
      <c r="L6" s="1" t="s">
        <v>60</v>
      </c>
      <c r="N6" s="1" t="s">
        <v>285</v>
      </c>
      <c r="R6" s="30" t="s">
        <v>44</v>
      </c>
      <c r="T6" s="1">
        <v>21884171</v>
      </c>
      <c r="U6" s="1" t="s">
        <v>957</v>
      </c>
      <c r="V6" s="5" t="s">
        <v>956</v>
      </c>
      <c r="Y6" s="782" t="s">
        <v>998</v>
      </c>
      <c r="Z6" s="782" t="s">
        <v>998</v>
      </c>
      <c r="AA6" s="782" t="s">
        <v>1077</v>
      </c>
      <c r="AB6" s="782" t="s">
        <v>1081</v>
      </c>
      <c r="AC6" s="44" t="s">
        <v>287</v>
      </c>
      <c r="AD6" s="44">
        <v>20511827</v>
      </c>
      <c r="AE6" s="44" t="s">
        <v>275</v>
      </c>
      <c r="AF6" s="45">
        <v>21889495</v>
      </c>
      <c r="AG6" s="44" t="s">
        <v>276</v>
      </c>
      <c r="AH6" s="43" t="s">
        <v>44</v>
      </c>
      <c r="AI6" s="781">
        <v>7247982038</v>
      </c>
      <c r="AJ6" s="45" t="s">
        <v>129</v>
      </c>
      <c r="AN6" s="26" t="s">
        <v>929</v>
      </c>
      <c r="AO6" s="1" t="s">
        <v>723</v>
      </c>
      <c r="AP6" s="1" t="s">
        <v>723</v>
      </c>
      <c r="AQ6" s="1" t="s">
        <v>723</v>
      </c>
      <c r="AR6" s="1" t="s">
        <v>723</v>
      </c>
      <c r="AS6" s="1" t="s">
        <v>723</v>
      </c>
      <c r="AT6" s="1" t="s">
        <v>723</v>
      </c>
      <c r="AU6" s="1" t="s">
        <v>723</v>
      </c>
      <c r="AV6" s="1" t="s">
        <v>723</v>
      </c>
      <c r="AW6" s="1" t="s">
        <v>723</v>
      </c>
      <c r="AX6" s="1" t="s">
        <v>44</v>
      </c>
      <c r="AY6" s="1" t="s">
        <v>723</v>
      </c>
      <c r="AZ6" s="1" t="s">
        <v>44</v>
      </c>
      <c r="BA6" s="1" t="s">
        <v>44</v>
      </c>
      <c r="BB6" s="1" t="s">
        <v>44</v>
      </c>
      <c r="BC6" s="1" t="s">
        <v>44</v>
      </c>
      <c r="BD6" s="1" t="s">
        <v>44</v>
      </c>
      <c r="BE6" s="1" t="s">
        <v>44</v>
      </c>
      <c r="BF6" s="1" t="s">
        <v>44</v>
      </c>
      <c r="BG6" s="1" t="s">
        <v>723</v>
      </c>
      <c r="BH6" s="1" t="s">
        <v>723</v>
      </c>
      <c r="BI6" s="1" t="s">
        <v>723</v>
      </c>
      <c r="BJ6" s="1" t="s">
        <v>44</v>
      </c>
      <c r="BK6" s="30"/>
    </row>
    <row r="7" spans="1:63" ht="14.45" customHeight="1" x14ac:dyDescent="0.25">
      <c r="A7" s="30" t="s">
        <v>44</v>
      </c>
      <c r="H7" s="1" t="s">
        <v>60</v>
      </c>
      <c r="I7" s="1" t="s">
        <v>60</v>
      </c>
      <c r="J7" s="5" t="s">
        <v>292</v>
      </c>
      <c r="L7" s="30" t="s">
        <v>44</v>
      </c>
      <c r="N7" s="1" t="s">
        <v>291</v>
      </c>
      <c r="T7" s="26" t="s">
        <v>316</v>
      </c>
      <c r="U7" s="1" t="s">
        <v>60</v>
      </c>
      <c r="V7" s="21" t="s">
        <v>316</v>
      </c>
      <c r="Y7" s="782" t="s">
        <v>999</v>
      </c>
      <c r="Z7" s="782" t="s">
        <v>999</v>
      </c>
      <c r="AA7" s="782" t="s">
        <v>1077</v>
      </c>
      <c r="AB7" s="782" t="s">
        <v>1082</v>
      </c>
      <c r="AC7" s="44" t="s">
        <v>287</v>
      </c>
      <c r="AD7" s="44">
        <v>20511827</v>
      </c>
      <c r="AE7" s="44" t="s">
        <v>275</v>
      </c>
      <c r="AF7" s="45">
        <v>21889495</v>
      </c>
      <c r="AG7" s="44" t="s">
        <v>276</v>
      </c>
      <c r="AH7" s="43" t="s">
        <v>44</v>
      </c>
      <c r="AI7" s="781">
        <v>9653060746</v>
      </c>
      <c r="AJ7" s="45" t="s">
        <v>129</v>
      </c>
      <c r="AN7" s="1" t="s">
        <v>847</v>
      </c>
      <c r="AO7" s="1" t="s">
        <v>44</v>
      </c>
      <c r="AP7" s="1" t="s">
        <v>44</v>
      </c>
      <c r="AQ7" s="1" t="s">
        <v>44</v>
      </c>
      <c r="AR7" s="1" t="s">
        <v>44</v>
      </c>
      <c r="AS7" s="1" t="s">
        <v>44</v>
      </c>
      <c r="AT7" s="1" t="s">
        <v>44</v>
      </c>
      <c r="AU7" s="1" t="s">
        <v>44</v>
      </c>
      <c r="AV7" s="1" t="s">
        <v>44</v>
      </c>
      <c r="AW7" s="1" t="s">
        <v>44</v>
      </c>
      <c r="AX7" s="1" t="s">
        <v>44</v>
      </c>
      <c r="AY7" s="1" t="s">
        <v>44</v>
      </c>
      <c r="AZ7" s="1" t="s">
        <v>723</v>
      </c>
      <c r="BA7" s="1" t="s">
        <v>44</v>
      </c>
      <c r="BB7" s="1" t="s">
        <v>44</v>
      </c>
      <c r="BC7" s="1" t="s">
        <v>723</v>
      </c>
      <c r="BD7" s="1" t="s">
        <v>723</v>
      </c>
      <c r="BE7" s="1" t="s">
        <v>723</v>
      </c>
      <c r="BF7" s="1" t="s">
        <v>723</v>
      </c>
      <c r="BG7" s="1" t="s">
        <v>44</v>
      </c>
      <c r="BH7" s="1" t="s">
        <v>44</v>
      </c>
      <c r="BI7" s="1" t="s">
        <v>44</v>
      </c>
      <c r="BJ7" s="1" t="s">
        <v>44</v>
      </c>
      <c r="BK7" s="30"/>
    </row>
    <row r="8" spans="1:63" ht="14.45" customHeight="1" x14ac:dyDescent="0.25">
      <c r="H8" s="30" t="s">
        <v>44</v>
      </c>
      <c r="I8" s="30"/>
      <c r="J8" s="30" t="s">
        <v>44</v>
      </c>
      <c r="N8" s="30" t="s">
        <v>44</v>
      </c>
      <c r="T8" s="1" t="s">
        <v>60</v>
      </c>
      <c r="U8" s="1" t="s">
        <v>60</v>
      </c>
      <c r="V8" s="5" t="s">
        <v>292</v>
      </c>
      <c r="Y8" s="782" t="s">
        <v>1000</v>
      </c>
      <c r="Z8" s="782" t="s">
        <v>1000</v>
      </c>
      <c r="AA8" s="782" t="s">
        <v>1077</v>
      </c>
      <c r="AB8" s="782" t="s">
        <v>1083</v>
      </c>
      <c r="AC8" s="44" t="s">
        <v>287</v>
      </c>
      <c r="AD8" s="44">
        <v>20511827</v>
      </c>
      <c r="AE8" s="44" t="s">
        <v>275</v>
      </c>
      <c r="AF8" s="45">
        <v>21889495</v>
      </c>
      <c r="AG8" s="44" t="s">
        <v>276</v>
      </c>
      <c r="AH8" s="43" t="s">
        <v>44</v>
      </c>
      <c r="AI8" s="781">
        <v>2364173794</v>
      </c>
      <c r="AJ8" s="45" t="s">
        <v>129</v>
      </c>
      <c r="AN8" s="1" t="s">
        <v>855</v>
      </c>
      <c r="AO8" s="1" t="s">
        <v>723</v>
      </c>
      <c r="AP8" s="1" t="s">
        <v>723</v>
      </c>
      <c r="AQ8" s="1" t="s">
        <v>723</v>
      </c>
      <c r="AR8" s="1" t="s">
        <v>723</v>
      </c>
      <c r="AS8" s="1" t="s">
        <v>723</v>
      </c>
      <c r="AT8" s="1" t="s">
        <v>723</v>
      </c>
      <c r="AU8" s="1" t="s">
        <v>723</v>
      </c>
      <c r="AV8" s="1" t="s">
        <v>723</v>
      </c>
      <c r="AW8" s="1" t="s">
        <v>44</v>
      </c>
      <c r="AX8" s="1" t="s">
        <v>44</v>
      </c>
      <c r="AY8" s="1" t="s">
        <v>723</v>
      </c>
      <c r="AZ8" s="1" t="s">
        <v>723</v>
      </c>
      <c r="BA8" s="1" t="s">
        <v>44</v>
      </c>
      <c r="BB8" s="1" t="s">
        <v>44</v>
      </c>
      <c r="BC8" s="1" t="s">
        <v>44</v>
      </c>
      <c r="BD8" s="1" t="s">
        <v>44</v>
      </c>
      <c r="BE8" s="1" t="s">
        <v>44</v>
      </c>
      <c r="BF8" s="1" t="s">
        <v>44</v>
      </c>
      <c r="BG8" s="1" t="s">
        <v>44</v>
      </c>
      <c r="BH8" s="1" t="s">
        <v>44</v>
      </c>
      <c r="BI8" s="1" t="s">
        <v>44</v>
      </c>
      <c r="BJ8" s="1" t="s">
        <v>44</v>
      </c>
      <c r="BK8" s="30"/>
    </row>
    <row r="9" spans="1:63" ht="14.45" customHeight="1" x14ac:dyDescent="0.25">
      <c r="T9" s="30" t="s">
        <v>44</v>
      </c>
      <c r="U9" s="30"/>
      <c r="V9" s="30" t="s">
        <v>44</v>
      </c>
      <c r="Y9" s="782" t="s">
        <v>1001</v>
      </c>
      <c r="Z9" s="782" t="s">
        <v>1001</v>
      </c>
      <c r="AA9" s="782" t="s">
        <v>1077</v>
      </c>
      <c r="AB9" s="782" t="s">
        <v>1084</v>
      </c>
      <c r="AC9" s="44" t="s">
        <v>287</v>
      </c>
      <c r="AD9" s="44">
        <v>20511827</v>
      </c>
      <c r="AE9" s="44" t="s">
        <v>275</v>
      </c>
      <c r="AF9" s="45">
        <v>21889495</v>
      </c>
      <c r="AG9" s="44" t="s">
        <v>276</v>
      </c>
      <c r="AH9" s="43" t="s">
        <v>44</v>
      </c>
      <c r="AI9" s="781">
        <v>4344381284</v>
      </c>
      <c r="AJ9" s="45" t="s">
        <v>129</v>
      </c>
      <c r="AN9" s="1" t="s">
        <v>857</v>
      </c>
      <c r="AO9" s="1" t="s">
        <v>723</v>
      </c>
      <c r="AP9" s="1" t="s">
        <v>723</v>
      </c>
      <c r="AQ9" s="1" t="s">
        <v>723</v>
      </c>
      <c r="AR9" s="1" t="s">
        <v>723</v>
      </c>
      <c r="AS9" s="1" t="s">
        <v>723</v>
      </c>
      <c r="AT9" s="1" t="s">
        <v>723</v>
      </c>
      <c r="AU9" s="1" t="s">
        <v>723</v>
      </c>
      <c r="AV9" s="1" t="s">
        <v>723</v>
      </c>
      <c r="AW9" s="1" t="s">
        <v>44</v>
      </c>
      <c r="AX9" s="1" t="s">
        <v>44</v>
      </c>
      <c r="AY9" s="1" t="s">
        <v>723</v>
      </c>
      <c r="AZ9" s="1" t="s">
        <v>723</v>
      </c>
      <c r="BA9" s="1" t="s">
        <v>723</v>
      </c>
      <c r="BB9" s="1" t="s">
        <v>723</v>
      </c>
      <c r="BC9" s="1" t="s">
        <v>723</v>
      </c>
      <c r="BD9" s="1" t="s">
        <v>723</v>
      </c>
      <c r="BE9" s="1" t="s">
        <v>723</v>
      </c>
      <c r="BF9" s="1" t="s">
        <v>44</v>
      </c>
      <c r="BG9" s="1" t="s">
        <v>44</v>
      </c>
      <c r="BH9" s="1" t="s">
        <v>44</v>
      </c>
      <c r="BI9" s="1" t="s">
        <v>44</v>
      </c>
      <c r="BJ9" s="1" t="s">
        <v>44</v>
      </c>
      <c r="BK9" s="30"/>
    </row>
    <row r="10" spans="1:63" ht="14.45" customHeight="1" x14ac:dyDescent="0.25">
      <c r="H10" s="5" t="s">
        <v>962</v>
      </c>
      <c r="L10" s="5" t="s">
        <v>972</v>
      </c>
      <c r="Y10" s="782" t="s">
        <v>1002</v>
      </c>
      <c r="Z10" s="782" t="s">
        <v>1002</v>
      </c>
      <c r="AA10" s="782" t="s">
        <v>1077</v>
      </c>
      <c r="AB10" s="782" t="s">
        <v>1085</v>
      </c>
      <c r="AC10" s="44" t="s">
        <v>287</v>
      </c>
      <c r="AD10" s="44">
        <v>20511827</v>
      </c>
      <c r="AE10" s="44" t="s">
        <v>275</v>
      </c>
      <c r="AF10" s="45">
        <v>21889495</v>
      </c>
      <c r="AG10" s="44" t="s">
        <v>276</v>
      </c>
      <c r="AH10" s="43" t="s">
        <v>44</v>
      </c>
      <c r="AI10" s="781">
        <v>2762418344</v>
      </c>
      <c r="AJ10" s="45" t="s">
        <v>129</v>
      </c>
      <c r="AN10" s="1" t="s">
        <v>854</v>
      </c>
      <c r="AO10" s="1" t="s">
        <v>723</v>
      </c>
      <c r="AP10" s="1" t="s">
        <v>723</v>
      </c>
      <c r="AQ10" s="1" t="s">
        <v>723</v>
      </c>
      <c r="AR10" s="1" t="s">
        <v>723</v>
      </c>
      <c r="AS10" s="1" t="s">
        <v>723</v>
      </c>
      <c r="AT10" s="1" t="s">
        <v>723</v>
      </c>
      <c r="AU10" s="1" t="s">
        <v>723</v>
      </c>
      <c r="AV10" s="1" t="s">
        <v>723</v>
      </c>
      <c r="AW10" s="1" t="s">
        <v>44</v>
      </c>
      <c r="AX10" s="1" t="s">
        <v>44</v>
      </c>
      <c r="AY10" s="1" t="s">
        <v>723</v>
      </c>
      <c r="AZ10" s="1" t="s">
        <v>723</v>
      </c>
      <c r="BA10" s="1" t="s">
        <v>723</v>
      </c>
      <c r="BB10" s="1" t="s">
        <v>723</v>
      </c>
      <c r="BC10" s="1" t="s">
        <v>723</v>
      </c>
      <c r="BD10" s="1" t="s">
        <v>723</v>
      </c>
      <c r="BE10" s="1" t="s">
        <v>723</v>
      </c>
      <c r="BF10" s="1" t="s">
        <v>723</v>
      </c>
      <c r="BG10" s="1" t="s">
        <v>44</v>
      </c>
      <c r="BH10" s="1" t="s">
        <v>44</v>
      </c>
      <c r="BI10" s="1" t="s">
        <v>44</v>
      </c>
      <c r="BJ10" s="1" t="s">
        <v>44</v>
      </c>
      <c r="BK10" s="30"/>
    </row>
    <row r="11" spans="1:63" ht="14.45" customHeight="1" x14ac:dyDescent="0.25">
      <c r="L11" s="1" t="s">
        <v>964</v>
      </c>
      <c r="M11" s="5" t="s">
        <v>965</v>
      </c>
      <c r="T11" s="5" t="s">
        <v>962</v>
      </c>
      <c r="Y11" s="782" t="s">
        <v>984</v>
      </c>
      <c r="Z11" s="782" t="s">
        <v>984</v>
      </c>
      <c r="AA11" s="782" t="s">
        <v>1077</v>
      </c>
      <c r="AB11" s="782" t="s">
        <v>1086</v>
      </c>
      <c r="AC11" s="44" t="s">
        <v>287</v>
      </c>
      <c r="AD11" s="44">
        <v>20511827</v>
      </c>
      <c r="AE11" s="44" t="s">
        <v>275</v>
      </c>
      <c r="AF11" s="45">
        <v>21889495</v>
      </c>
      <c r="AG11" s="44" t="s">
        <v>276</v>
      </c>
      <c r="AH11" s="43" t="s">
        <v>44</v>
      </c>
      <c r="AI11" s="781">
        <v>4225989267</v>
      </c>
      <c r="AJ11" s="45" t="s">
        <v>129</v>
      </c>
      <c r="AN11" s="1" t="s">
        <v>856</v>
      </c>
      <c r="AO11" s="1" t="s">
        <v>44</v>
      </c>
      <c r="AP11" s="1" t="s">
        <v>44</v>
      </c>
      <c r="AQ11" s="1" t="s">
        <v>44</v>
      </c>
      <c r="AR11" s="1" t="s">
        <v>723</v>
      </c>
      <c r="AS11" s="1" t="s">
        <v>723</v>
      </c>
      <c r="AT11" s="1" t="s">
        <v>44</v>
      </c>
      <c r="AU11" s="1" t="s">
        <v>44</v>
      </c>
      <c r="AV11" s="1" t="s">
        <v>44</v>
      </c>
      <c r="AW11" s="1" t="s">
        <v>44</v>
      </c>
      <c r="AX11" s="1" t="s">
        <v>44</v>
      </c>
      <c r="AY11" s="1" t="s">
        <v>44</v>
      </c>
      <c r="AZ11" s="1" t="s">
        <v>44</v>
      </c>
      <c r="BA11" s="1" t="s">
        <v>44</v>
      </c>
      <c r="BB11" s="1" t="s">
        <v>44</v>
      </c>
      <c r="BC11" s="1" t="s">
        <v>44</v>
      </c>
      <c r="BD11" s="1" t="s">
        <v>44</v>
      </c>
      <c r="BE11" s="1" t="s">
        <v>44</v>
      </c>
      <c r="BF11" s="1" t="s">
        <v>44</v>
      </c>
      <c r="BG11" s="1" t="s">
        <v>44</v>
      </c>
      <c r="BH11" s="1" t="s">
        <v>44</v>
      </c>
      <c r="BI11" s="1" t="s">
        <v>44</v>
      </c>
      <c r="BJ11" s="1" t="s">
        <v>44</v>
      </c>
      <c r="BK11" s="30"/>
    </row>
    <row r="12" spans="1:63" ht="14.45" customHeight="1" x14ac:dyDescent="0.25">
      <c r="L12" s="1" t="s">
        <v>966</v>
      </c>
      <c r="M12" s="5" t="s">
        <v>967</v>
      </c>
      <c r="Y12" s="782" t="s">
        <v>1003</v>
      </c>
      <c r="Z12" s="782" t="s">
        <v>1003</v>
      </c>
      <c r="AA12" s="782" t="s">
        <v>1077</v>
      </c>
      <c r="AB12" s="782" t="s">
        <v>1087</v>
      </c>
      <c r="AC12" s="44" t="s">
        <v>287</v>
      </c>
      <c r="AD12" s="44">
        <v>20511827</v>
      </c>
      <c r="AE12" s="44" t="s">
        <v>275</v>
      </c>
      <c r="AF12" s="45">
        <v>21889495</v>
      </c>
      <c r="AG12" s="44" t="s">
        <v>276</v>
      </c>
      <c r="AH12" s="43" t="s">
        <v>44</v>
      </c>
      <c r="AI12" s="781">
        <v>6726470222</v>
      </c>
      <c r="AJ12" s="45" t="s">
        <v>129</v>
      </c>
      <c r="AN12" s="1" t="s">
        <v>835</v>
      </c>
      <c r="AO12" s="1" t="s">
        <v>44</v>
      </c>
      <c r="AP12" s="1" t="s">
        <v>44</v>
      </c>
      <c r="AQ12" s="1" t="s">
        <v>44</v>
      </c>
      <c r="AR12" s="1" t="s">
        <v>44</v>
      </c>
      <c r="AS12" s="1" t="s">
        <v>44</v>
      </c>
      <c r="AT12" s="1" t="s">
        <v>44</v>
      </c>
      <c r="AU12" s="1" t="s">
        <v>44</v>
      </c>
      <c r="AV12" s="1" t="s">
        <v>44</v>
      </c>
      <c r="AW12" s="1" t="s">
        <v>44</v>
      </c>
      <c r="AX12" s="1" t="s">
        <v>44</v>
      </c>
      <c r="AY12" s="1" t="s">
        <v>44</v>
      </c>
      <c r="AZ12" s="1" t="s">
        <v>44</v>
      </c>
      <c r="BA12" s="1" t="s">
        <v>44</v>
      </c>
      <c r="BB12" s="1" t="s">
        <v>44</v>
      </c>
      <c r="BC12" s="1" t="s">
        <v>44</v>
      </c>
      <c r="BD12" s="1" t="s">
        <v>44</v>
      </c>
      <c r="BE12" s="1" t="s">
        <v>44</v>
      </c>
      <c r="BF12" s="1" t="s">
        <v>44</v>
      </c>
      <c r="BG12" s="1" t="s">
        <v>44</v>
      </c>
      <c r="BH12" s="1" t="s">
        <v>44</v>
      </c>
      <c r="BI12" s="1" t="s">
        <v>44</v>
      </c>
      <c r="BJ12" s="341" t="s">
        <v>836</v>
      </c>
      <c r="BK12" s="30"/>
    </row>
    <row r="13" spans="1:63" ht="14.45" customHeight="1" x14ac:dyDescent="0.25">
      <c r="L13" s="1" t="s">
        <v>970</v>
      </c>
      <c r="M13" s="5" t="s">
        <v>971</v>
      </c>
      <c r="Y13" s="782" t="s">
        <v>985</v>
      </c>
      <c r="Z13" s="782" t="s">
        <v>985</v>
      </c>
      <c r="AA13" s="782" t="s">
        <v>1077</v>
      </c>
      <c r="AB13" s="782" t="s">
        <v>1088</v>
      </c>
      <c r="AC13" s="48" t="s">
        <v>287</v>
      </c>
      <c r="AD13" s="48">
        <v>20511827</v>
      </c>
      <c r="AE13" s="48" t="s">
        <v>275</v>
      </c>
      <c r="AF13" s="47">
        <v>21889495</v>
      </c>
      <c r="AG13" s="48" t="s">
        <v>276</v>
      </c>
      <c r="AH13" s="43" t="s">
        <v>44</v>
      </c>
      <c r="AI13" s="781">
        <v>1712220068</v>
      </c>
      <c r="AJ13" s="47" t="s">
        <v>129</v>
      </c>
      <c r="AN13" s="1" t="s">
        <v>840</v>
      </c>
      <c r="AO13" s="1" t="s">
        <v>44</v>
      </c>
      <c r="AP13" s="1" t="s">
        <v>44</v>
      </c>
      <c r="AQ13" s="1" t="s">
        <v>44</v>
      </c>
      <c r="AR13" s="1" t="s">
        <v>44</v>
      </c>
      <c r="AS13" s="1" t="s">
        <v>44</v>
      </c>
      <c r="AT13" s="1" t="s">
        <v>44</v>
      </c>
      <c r="AU13" s="1" t="s">
        <v>44</v>
      </c>
      <c r="AV13" s="1" t="s">
        <v>44</v>
      </c>
      <c r="AW13" s="1" t="s">
        <v>44</v>
      </c>
      <c r="AX13" s="1" t="s">
        <v>44</v>
      </c>
      <c r="AY13" s="1" t="s">
        <v>44</v>
      </c>
      <c r="AZ13" s="1" t="s">
        <v>44</v>
      </c>
      <c r="BA13" s="1" t="s">
        <v>44</v>
      </c>
      <c r="BB13" s="1" t="s">
        <v>44</v>
      </c>
      <c r="BC13" s="1" t="s">
        <v>44</v>
      </c>
      <c r="BD13" s="1" t="s">
        <v>44</v>
      </c>
      <c r="BE13" s="1" t="s">
        <v>44</v>
      </c>
      <c r="BF13" s="1" t="s">
        <v>44</v>
      </c>
      <c r="BG13" s="1" t="s">
        <v>44</v>
      </c>
      <c r="BH13" s="1" t="s">
        <v>44</v>
      </c>
      <c r="BI13" s="1" t="s">
        <v>44</v>
      </c>
      <c r="BJ13" s="341" t="s">
        <v>841</v>
      </c>
      <c r="BK13" s="30"/>
    </row>
    <row r="14" spans="1:63" ht="14.45" customHeight="1" x14ac:dyDescent="0.25">
      <c r="Y14" s="782" t="s">
        <v>986</v>
      </c>
      <c r="Z14" s="782" t="s">
        <v>986</v>
      </c>
      <c r="AA14" s="782" t="s">
        <v>1077</v>
      </c>
      <c r="AB14" s="782" t="s">
        <v>1089</v>
      </c>
      <c r="AC14" s="48" t="s">
        <v>129</v>
      </c>
      <c r="AD14" s="48">
        <v>20511827</v>
      </c>
      <c r="AE14" s="48" t="s">
        <v>275</v>
      </c>
      <c r="AF14" s="47">
        <v>21889495</v>
      </c>
      <c r="AG14" s="48" t="s">
        <v>276</v>
      </c>
      <c r="AH14" s="43" t="s">
        <v>44</v>
      </c>
      <c r="AI14" s="781">
        <v>2200078623</v>
      </c>
      <c r="AJ14" s="47" t="s">
        <v>129</v>
      </c>
      <c r="AN14" s="1" t="s">
        <v>932</v>
      </c>
      <c r="AO14" s="1" t="s">
        <v>44</v>
      </c>
      <c r="AP14" s="1" t="s">
        <v>44</v>
      </c>
      <c r="AQ14" s="1" t="s">
        <v>44</v>
      </c>
      <c r="AR14" s="1" t="s">
        <v>44</v>
      </c>
      <c r="AS14" s="1" t="s">
        <v>44</v>
      </c>
      <c r="AT14" s="1" t="s">
        <v>44</v>
      </c>
      <c r="AU14" s="1" t="s">
        <v>44</v>
      </c>
      <c r="AV14" s="1" t="s">
        <v>44</v>
      </c>
      <c r="AW14" s="1" t="s">
        <v>44</v>
      </c>
      <c r="AX14" s="1" t="s">
        <v>44</v>
      </c>
      <c r="AY14" s="1" t="s">
        <v>44</v>
      </c>
      <c r="AZ14" s="1" t="s">
        <v>44</v>
      </c>
      <c r="BA14" s="1" t="s">
        <v>44</v>
      </c>
      <c r="BB14" s="1" t="s">
        <v>44</v>
      </c>
      <c r="BC14" s="1" t="s">
        <v>44</v>
      </c>
      <c r="BD14" s="1" t="s">
        <v>44</v>
      </c>
      <c r="BE14" s="1" t="s">
        <v>44</v>
      </c>
      <c r="BF14" s="1" t="s">
        <v>44</v>
      </c>
      <c r="BG14" s="1" t="s">
        <v>44</v>
      </c>
      <c r="BH14" s="1" t="s">
        <v>44</v>
      </c>
      <c r="BI14" s="1" t="s">
        <v>44</v>
      </c>
      <c r="BJ14" s="341" t="s">
        <v>842</v>
      </c>
      <c r="BK14" s="30"/>
    </row>
    <row r="15" spans="1:63" ht="14.45" customHeight="1" x14ac:dyDescent="0.25">
      <c r="Y15" s="782" t="s">
        <v>987</v>
      </c>
      <c r="Z15" s="782" t="s">
        <v>987</v>
      </c>
      <c r="AA15" s="782" t="s">
        <v>1077</v>
      </c>
      <c r="AB15" s="782" t="s">
        <v>1090</v>
      </c>
      <c r="AC15" s="48" t="s">
        <v>129</v>
      </c>
      <c r="AD15" s="48">
        <v>20511827</v>
      </c>
      <c r="AE15" s="48" t="s">
        <v>275</v>
      </c>
      <c r="AF15" s="47">
        <v>21889495</v>
      </c>
      <c r="AG15" s="48" t="s">
        <v>276</v>
      </c>
      <c r="AH15" s="43" t="s">
        <v>44</v>
      </c>
      <c r="AI15" s="781">
        <v>6823384529</v>
      </c>
      <c r="AJ15" s="47" t="s">
        <v>129</v>
      </c>
      <c r="AN15" s="1" t="s">
        <v>930</v>
      </c>
      <c r="AO15" s="1" t="s">
        <v>44</v>
      </c>
      <c r="AP15" s="1" t="s">
        <v>44</v>
      </c>
      <c r="AQ15" s="1" t="s">
        <v>44</v>
      </c>
      <c r="AR15" s="1" t="s">
        <v>44</v>
      </c>
      <c r="AS15" s="1" t="s">
        <v>44</v>
      </c>
      <c r="AT15" s="1" t="s">
        <v>44</v>
      </c>
      <c r="AU15" s="1" t="s">
        <v>44</v>
      </c>
      <c r="AV15" s="1" t="s">
        <v>44</v>
      </c>
      <c r="AW15" s="1" t="s">
        <v>44</v>
      </c>
      <c r="AX15" s="1" t="s">
        <v>44</v>
      </c>
      <c r="AY15" s="1" t="s">
        <v>44</v>
      </c>
      <c r="AZ15" s="1" t="s">
        <v>44</v>
      </c>
      <c r="BA15" s="1" t="s">
        <v>44</v>
      </c>
      <c r="BB15" s="1" t="s">
        <v>44</v>
      </c>
      <c r="BC15" s="1" t="s">
        <v>44</v>
      </c>
      <c r="BD15" s="1" t="s">
        <v>44</v>
      </c>
      <c r="BE15" s="1" t="s">
        <v>44</v>
      </c>
      <c r="BF15" s="1" t="s">
        <v>44</v>
      </c>
      <c r="BG15" s="1" t="s">
        <v>44</v>
      </c>
      <c r="BH15" s="1" t="s">
        <v>44</v>
      </c>
      <c r="BI15" s="1" t="s">
        <v>44</v>
      </c>
      <c r="BJ15" s="341" t="s">
        <v>931</v>
      </c>
      <c r="BK15" s="30"/>
    </row>
    <row r="16" spans="1:63" ht="14.45" customHeight="1" x14ac:dyDescent="0.25">
      <c r="Y16" s="782" t="s">
        <v>988</v>
      </c>
      <c r="Z16" s="782" t="s">
        <v>988</v>
      </c>
      <c r="AA16" s="782" t="s">
        <v>1077</v>
      </c>
      <c r="AB16" s="782" t="s">
        <v>1091</v>
      </c>
      <c r="AC16" s="48" t="s">
        <v>129</v>
      </c>
      <c r="AD16" s="48">
        <v>20511827</v>
      </c>
      <c r="AE16" s="48" t="s">
        <v>275</v>
      </c>
      <c r="AF16" s="47">
        <v>21889495</v>
      </c>
      <c r="AG16" s="48" t="s">
        <v>276</v>
      </c>
      <c r="AH16" s="43" t="s">
        <v>44</v>
      </c>
      <c r="AI16" s="781">
        <v>5291592686</v>
      </c>
      <c r="AJ16" s="47" t="s">
        <v>129</v>
      </c>
      <c r="AN16" s="1" t="s">
        <v>933</v>
      </c>
      <c r="AO16" s="1" t="s">
        <v>44</v>
      </c>
      <c r="AP16" s="1" t="s">
        <v>44</v>
      </c>
      <c r="AQ16" s="1" t="s">
        <v>44</v>
      </c>
      <c r="AR16" s="1" t="s">
        <v>44</v>
      </c>
      <c r="AS16" s="1" t="s">
        <v>44</v>
      </c>
      <c r="AT16" s="1" t="s">
        <v>44</v>
      </c>
      <c r="AU16" s="1" t="s">
        <v>44</v>
      </c>
      <c r="AV16" s="1" t="s">
        <v>44</v>
      </c>
      <c r="AW16" s="1" t="s">
        <v>44</v>
      </c>
      <c r="AX16" s="1" t="s">
        <v>44</v>
      </c>
      <c r="AY16" s="1" t="s">
        <v>44</v>
      </c>
      <c r="AZ16" s="1" t="s">
        <v>44</v>
      </c>
      <c r="BA16" s="1" t="s">
        <v>44</v>
      </c>
      <c r="BB16" s="1" t="s">
        <v>44</v>
      </c>
      <c r="BC16" s="1" t="s">
        <v>44</v>
      </c>
      <c r="BD16" s="1" t="s">
        <v>44</v>
      </c>
      <c r="BE16" s="1" t="s">
        <v>44</v>
      </c>
      <c r="BF16" s="1" t="s">
        <v>44</v>
      </c>
      <c r="BG16" s="1" t="s">
        <v>44</v>
      </c>
      <c r="BH16" s="1" t="s">
        <v>44</v>
      </c>
      <c r="BI16" s="1" t="s">
        <v>44</v>
      </c>
      <c r="BJ16" s="341" t="s">
        <v>934</v>
      </c>
      <c r="BK16" s="30"/>
    </row>
    <row r="17" spans="25:63" ht="14.45" customHeight="1" x14ac:dyDescent="0.25">
      <c r="Y17" s="782" t="s">
        <v>989</v>
      </c>
      <c r="Z17" s="782" t="s">
        <v>989</v>
      </c>
      <c r="AA17" s="782" t="s">
        <v>1078</v>
      </c>
      <c r="AB17" s="782" t="s">
        <v>1092</v>
      </c>
      <c r="AC17" s="44" t="s">
        <v>287</v>
      </c>
      <c r="AD17" s="44">
        <v>20511827</v>
      </c>
      <c r="AE17" s="44" t="s">
        <v>275</v>
      </c>
      <c r="AF17" s="45">
        <v>21889495</v>
      </c>
      <c r="AG17" s="44" t="s">
        <v>276</v>
      </c>
      <c r="AH17" s="43" t="s">
        <v>44</v>
      </c>
      <c r="AI17" s="781">
        <v>7708361598</v>
      </c>
      <c r="AJ17" s="45" t="s">
        <v>129</v>
      </c>
      <c r="AN17" s="1" t="s">
        <v>838</v>
      </c>
      <c r="AO17" s="1" t="s">
        <v>44</v>
      </c>
      <c r="AP17" s="1" t="s">
        <v>44</v>
      </c>
      <c r="AQ17" s="1" t="s">
        <v>44</v>
      </c>
      <c r="AR17" s="1" t="s">
        <v>44</v>
      </c>
      <c r="AS17" s="1" t="s">
        <v>44</v>
      </c>
      <c r="AT17" s="1" t="s">
        <v>44</v>
      </c>
      <c r="AU17" s="1" t="s">
        <v>44</v>
      </c>
      <c r="AV17" s="1" t="s">
        <v>44</v>
      </c>
      <c r="AW17" s="1" t="s">
        <v>44</v>
      </c>
      <c r="AX17" s="1" t="s">
        <v>44</v>
      </c>
      <c r="AY17" s="1" t="s">
        <v>44</v>
      </c>
      <c r="AZ17" s="1" t="s">
        <v>44</v>
      </c>
      <c r="BA17" s="1" t="s">
        <v>44</v>
      </c>
      <c r="BB17" s="1" t="s">
        <v>44</v>
      </c>
      <c r="BC17" s="1" t="s">
        <v>44</v>
      </c>
      <c r="BD17" s="1" t="s">
        <v>44</v>
      </c>
      <c r="BE17" s="1" t="s">
        <v>44</v>
      </c>
      <c r="BF17" s="1" t="s">
        <v>44</v>
      </c>
      <c r="BG17" s="1" t="s">
        <v>44</v>
      </c>
      <c r="BH17" s="1" t="s">
        <v>44</v>
      </c>
      <c r="BI17" s="1" t="s">
        <v>44</v>
      </c>
      <c r="BJ17" s="341" t="s">
        <v>846</v>
      </c>
      <c r="BK17" s="30"/>
    </row>
    <row r="18" spans="25:63" ht="14.45" customHeight="1" x14ac:dyDescent="0.25">
      <c r="Y18" s="782" t="s">
        <v>990</v>
      </c>
      <c r="Z18" s="782" t="s">
        <v>990</v>
      </c>
      <c r="AA18" s="782" t="s">
        <v>1078</v>
      </c>
      <c r="AB18" s="782" t="s">
        <v>1093</v>
      </c>
      <c r="AC18" s="44" t="s">
        <v>287</v>
      </c>
      <c r="AD18" s="44">
        <v>20511827</v>
      </c>
      <c r="AE18" s="44" t="s">
        <v>275</v>
      </c>
      <c r="AF18" s="45">
        <v>21889495</v>
      </c>
      <c r="AG18" s="44" t="s">
        <v>276</v>
      </c>
      <c r="AH18" s="43" t="s">
        <v>44</v>
      </c>
      <c r="AI18" s="781">
        <v>2952846557</v>
      </c>
      <c r="AJ18" s="45" t="s">
        <v>129</v>
      </c>
      <c r="AN18" s="1" t="s">
        <v>844</v>
      </c>
      <c r="AO18" s="1" t="s">
        <v>44</v>
      </c>
      <c r="AP18" s="1" t="s">
        <v>44</v>
      </c>
      <c r="AQ18" s="1" t="s">
        <v>44</v>
      </c>
      <c r="AR18" s="1" t="s">
        <v>44</v>
      </c>
      <c r="AS18" s="1" t="s">
        <v>44</v>
      </c>
      <c r="AT18" s="1" t="s">
        <v>44</v>
      </c>
      <c r="AU18" s="1" t="s">
        <v>44</v>
      </c>
      <c r="AV18" s="1" t="s">
        <v>44</v>
      </c>
      <c r="AW18" s="1" t="s">
        <v>44</v>
      </c>
      <c r="AX18" s="1" t="s">
        <v>44</v>
      </c>
      <c r="AY18" s="1" t="s">
        <v>44</v>
      </c>
      <c r="AZ18" s="1" t="s">
        <v>44</v>
      </c>
      <c r="BA18" s="1" t="s">
        <v>44</v>
      </c>
      <c r="BB18" s="1" t="s">
        <v>44</v>
      </c>
      <c r="BC18" s="1" t="s">
        <v>44</v>
      </c>
      <c r="BD18" s="1" t="s">
        <v>44</v>
      </c>
      <c r="BE18" s="1" t="s">
        <v>44</v>
      </c>
      <c r="BF18" s="1" t="s">
        <v>44</v>
      </c>
      <c r="BG18" s="1" t="s">
        <v>44</v>
      </c>
      <c r="BH18" s="1" t="s">
        <v>44</v>
      </c>
      <c r="BI18" s="1" t="s">
        <v>44</v>
      </c>
      <c r="BJ18" s="341" t="s">
        <v>845</v>
      </c>
      <c r="BK18" s="30"/>
    </row>
    <row r="19" spans="25:63" ht="14.45" customHeight="1" x14ac:dyDescent="0.25">
      <c r="Y19" s="782" t="s">
        <v>991</v>
      </c>
      <c r="Z19" s="782" t="s">
        <v>991</v>
      </c>
      <c r="AA19" s="782" t="s">
        <v>1078</v>
      </c>
      <c r="AB19" s="782" t="s">
        <v>1094</v>
      </c>
      <c r="AC19" s="44" t="s">
        <v>287</v>
      </c>
      <c r="AD19" s="44">
        <v>20511827</v>
      </c>
      <c r="AE19" s="44" t="s">
        <v>275</v>
      </c>
      <c r="AF19" s="45">
        <v>21889495</v>
      </c>
      <c r="AG19" s="44" t="s">
        <v>276</v>
      </c>
      <c r="AH19" s="43" t="s">
        <v>44</v>
      </c>
      <c r="AI19" s="781">
        <v>5141069706</v>
      </c>
      <c r="AJ19" s="45" t="s">
        <v>129</v>
      </c>
      <c r="AN19" s="1" t="s">
        <v>843</v>
      </c>
      <c r="AO19" s="1" t="s">
        <v>44</v>
      </c>
      <c r="AP19" s="1" t="s">
        <v>44</v>
      </c>
      <c r="AQ19" s="1" t="s">
        <v>44</v>
      </c>
      <c r="AR19" s="1" t="s">
        <v>44</v>
      </c>
      <c r="AS19" s="1" t="s">
        <v>44</v>
      </c>
      <c r="AT19" s="1" t="s">
        <v>44</v>
      </c>
      <c r="AU19" s="1" t="s">
        <v>44</v>
      </c>
      <c r="AV19" s="1" t="s">
        <v>44</v>
      </c>
      <c r="AW19" s="1" t="s">
        <v>44</v>
      </c>
      <c r="AX19" s="1" t="s">
        <v>44</v>
      </c>
      <c r="AY19" s="1" t="s">
        <v>44</v>
      </c>
      <c r="AZ19" s="1" t="s">
        <v>44</v>
      </c>
      <c r="BA19" s="1" t="s">
        <v>44</v>
      </c>
      <c r="BB19" s="1" t="s">
        <v>44</v>
      </c>
      <c r="BC19" s="1" t="s">
        <v>44</v>
      </c>
      <c r="BD19" s="1" t="s">
        <v>44</v>
      </c>
      <c r="BE19" s="1" t="s">
        <v>44</v>
      </c>
      <c r="BF19" s="1" t="s">
        <v>44</v>
      </c>
      <c r="BG19" s="1" t="s">
        <v>44</v>
      </c>
      <c r="BH19" s="1" t="s">
        <v>44</v>
      </c>
      <c r="BI19" s="1" t="s">
        <v>44</v>
      </c>
      <c r="BJ19" s="341" t="s">
        <v>839</v>
      </c>
      <c r="BK19" s="30"/>
    </row>
    <row r="20" spans="25:63" ht="14.45" customHeight="1" x14ac:dyDescent="0.25">
      <c r="Y20" s="782" t="s">
        <v>992</v>
      </c>
      <c r="Z20" s="782" t="s">
        <v>992</v>
      </c>
      <c r="AA20" s="782" t="s">
        <v>1078</v>
      </c>
      <c r="AB20" s="782" t="s">
        <v>1095</v>
      </c>
      <c r="AC20" s="44" t="s">
        <v>287</v>
      </c>
      <c r="AD20" s="44">
        <v>20511827</v>
      </c>
      <c r="AE20" s="44" t="s">
        <v>275</v>
      </c>
      <c r="AF20" s="45">
        <v>21889495</v>
      </c>
      <c r="AG20" s="44" t="s">
        <v>276</v>
      </c>
      <c r="AH20" s="43" t="s">
        <v>44</v>
      </c>
      <c r="AI20" s="781">
        <v>5977299521</v>
      </c>
      <c r="AJ20" s="45" t="s">
        <v>129</v>
      </c>
      <c r="AN20" s="1" t="s">
        <v>848</v>
      </c>
      <c r="AO20" s="1" t="s">
        <v>44</v>
      </c>
      <c r="AP20" s="1" t="s">
        <v>44</v>
      </c>
      <c r="AQ20" s="1" t="s">
        <v>44</v>
      </c>
      <c r="AR20" s="1" t="s">
        <v>44</v>
      </c>
      <c r="AS20" s="1" t="s">
        <v>44</v>
      </c>
      <c r="AT20" s="1" t="s">
        <v>44</v>
      </c>
      <c r="AU20" s="1" t="s">
        <v>44</v>
      </c>
      <c r="AV20" s="1" t="s">
        <v>44</v>
      </c>
      <c r="AW20" s="1" t="s">
        <v>44</v>
      </c>
      <c r="AX20" s="1" t="s">
        <v>44</v>
      </c>
      <c r="AY20" s="1" t="s">
        <v>44</v>
      </c>
      <c r="AZ20" s="1" t="s">
        <v>44</v>
      </c>
      <c r="BA20" s="1" t="s">
        <v>44</v>
      </c>
      <c r="BB20" s="1" t="s">
        <v>44</v>
      </c>
      <c r="BC20" s="1" t="s">
        <v>44</v>
      </c>
      <c r="BD20" s="1" t="s">
        <v>44</v>
      </c>
      <c r="BE20" s="1" t="s">
        <v>44</v>
      </c>
      <c r="BF20" s="1" t="s">
        <v>44</v>
      </c>
      <c r="BG20" s="1" t="s">
        <v>44</v>
      </c>
      <c r="BH20" s="1" t="s">
        <v>44</v>
      </c>
      <c r="BI20" s="1" t="s">
        <v>44</v>
      </c>
      <c r="BJ20" s="341" t="s">
        <v>851</v>
      </c>
      <c r="BK20" s="30"/>
    </row>
    <row r="21" spans="25:63" ht="14.45" customHeight="1" x14ac:dyDescent="0.25">
      <c r="Y21" s="782" t="s">
        <v>993</v>
      </c>
      <c r="Z21" s="782" t="s">
        <v>993</v>
      </c>
      <c r="AA21" s="782" t="s">
        <v>1078</v>
      </c>
      <c r="AB21" s="782" t="s">
        <v>1096</v>
      </c>
      <c r="AC21" s="48" t="s">
        <v>129</v>
      </c>
      <c r="AD21" s="48">
        <v>20511827</v>
      </c>
      <c r="AE21" s="48" t="s">
        <v>275</v>
      </c>
      <c r="AF21" s="47">
        <v>21889495</v>
      </c>
      <c r="AG21" s="48" t="s">
        <v>276</v>
      </c>
      <c r="AH21" s="43" t="s">
        <v>44</v>
      </c>
      <c r="AI21" s="781">
        <v>3360247752</v>
      </c>
      <c r="AJ21" s="45" t="s">
        <v>129</v>
      </c>
      <c r="AN21" s="1" t="s">
        <v>849</v>
      </c>
      <c r="AO21" s="1" t="s">
        <v>44</v>
      </c>
      <c r="AP21" s="1" t="s">
        <v>44</v>
      </c>
      <c r="AQ21" s="1" t="s">
        <v>44</v>
      </c>
      <c r="AR21" s="1" t="s">
        <v>44</v>
      </c>
      <c r="AS21" s="1" t="s">
        <v>44</v>
      </c>
      <c r="AT21" s="1" t="s">
        <v>44</v>
      </c>
      <c r="AU21" s="1" t="s">
        <v>44</v>
      </c>
      <c r="AV21" s="1" t="s">
        <v>44</v>
      </c>
      <c r="AW21" s="1" t="s">
        <v>44</v>
      </c>
      <c r="AX21" s="1" t="s">
        <v>44</v>
      </c>
      <c r="AY21" s="1" t="s">
        <v>44</v>
      </c>
      <c r="AZ21" s="1" t="s">
        <v>44</v>
      </c>
      <c r="BA21" s="1" t="s">
        <v>44</v>
      </c>
      <c r="BB21" s="1" t="s">
        <v>44</v>
      </c>
      <c r="BC21" s="1" t="s">
        <v>44</v>
      </c>
      <c r="BD21" s="1" t="s">
        <v>44</v>
      </c>
      <c r="BE21" s="1" t="s">
        <v>44</v>
      </c>
      <c r="BF21" s="1" t="s">
        <v>44</v>
      </c>
      <c r="BG21" s="1" t="s">
        <v>44</v>
      </c>
      <c r="BH21" s="1" t="s">
        <v>44</v>
      </c>
      <c r="BI21" s="1" t="s">
        <v>44</v>
      </c>
      <c r="BJ21" s="341" t="s">
        <v>850</v>
      </c>
      <c r="BK21" s="30"/>
    </row>
    <row r="22" spans="25:63" ht="14.45" customHeight="1" x14ac:dyDescent="0.25">
      <c r="Y22" s="782" t="s">
        <v>994</v>
      </c>
      <c r="Z22" s="782" t="s">
        <v>994</v>
      </c>
      <c r="AA22" s="782" t="s">
        <v>1078</v>
      </c>
      <c r="AB22" s="782" t="s">
        <v>1097</v>
      </c>
      <c r="AC22" s="48" t="s">
        <v>129</v>
      </c>
      <c r="AD22" s="48">
        <v>20511827</v>
      </c>
      <c r="AE22" s="48" t="s">
        <v>275</v>
      </c>
      <c r="AF22" s="47">
        <v>21889495</v>
      </c>
      <c r="AG22" s="48" t="s">
        <v>276</v>
      </c>
      <c r="AH22" s="43" t="s">
        <v>44</v>
      </c>
      <c r="AI22" s="781">
        <v>9451275700</v>
      </c>
      <c r="AJ22" s="45" t="s">
        <v>129</v>
      </c>
      <c r="AN22" s="1" t="s">
        <v>853</v>
      </c>
      <c r="AO22" s="1" t="s">
        <v>44</v>
      </c>
      <c r="AP22" s="1" t="s">
        <v>44</v>
      </c>
      <c r="AQ22" s="1" t="s">
        <v>44</v>
      </c>
      <c r="AR22" s="1" t="s">
        <v>44</v>
      </c>
      <c r="AS22" s="1" t="s">
        <v>44</v>
      </c>
      <c r="AT22" s="1" t="s">
        <v>44</v>
      </c>
      <c r="AU22" s="1" t="s">
        <v>44</v>
      </c>
      <c r="AV22" s="1" t="s">
        <v>44</v>
      </c>
      <c r="AW22" s="1" t="s">
        <v>44</v>
      </c>
      <c r="AX22" s="1" t="s">
        <v>44</v>
      </c>
      <c r="AY22" s="1" t="s">
        <v>44</v>
      </c>
      <c r="AZ22" s="1" t="s">
        <v>44</v>
      </c>
      <c r="BA22" s="1" t="s">
        <v>44</v>
      </c>
      <c r="BB22" s="1" t="s">
        <v>44</v>
      </c>
      <c r="BC22" s="1" t="s">
        <v>44</v>
      </c>
      <c r="BD22" s="1" t="s">
        <v>44</v>
      </c>
      <c r="BE22" s="1" t="s">
        <v>44</v>
      </c>
      <c r="BF22" s="1" t="s">
        <v>44</v>
      </c>
      <c r="BG22" s="1" t="s">
        <v>44</v>
      </c>
      <c r="BH22" s="1" t="s">
        <v>44</v>
      </c>
      <c r="BI22" s="1" t="s">
        <v>44</v>
      </c>
      <c r="BJ22" s="341" t="s">
        <v>852</v>
      </c>
      <c r="BK22" s="30"/>
    </row>
    <row r="23" spans="25:63" ht="14.45" customHeight="1" x14ac:dyDescent="0.25">
      <c r="Y23" s="782" t="s">
        <v>995</v>
      </c>
      <c r="Z23" s="782" t="s">
        <v>995</v>
      </c>
      <c r="AA23" s="782" t="s">
        <v>1079</v>
      </c>
      <c r="AB23" s="782" t="s">
        <v>1098</v>
      </c>
      <c r="AC23" s="44" t="s">
        <v>287</v>
      </c>
      <c r="AD23" s="44">
        <v>20511827</v>
      </c>
      <c r="AE23" s="44" t="s">
        <v>275</v>
      </c>
      <c r="AF23" s="45">
        <v>21889495</v>
      </c>
      <c r="AG23" s="44" t="s">
        <v>276</v>
      </c>
      <c r="AH23" s="43" t="s">
        <v>44</v>
      </c>
      <c r="AI23" s="781">
        <v>7607563553</v>
      </c>
      <c r="AJ23" s="45" t="s">
        <v>129</v>
      </c>
      <c r="AN23" s="30" t="s">
        <v>44</v>
      </c>
      <c r="AO23" s="30" t="s">
        <v>44</v>
      </c>
      <c r="AP23" s="30" t="s">
        <v>44</v>
      </c>
      <c r="AQ23" s="30" t="s">
        <v>44</v>
      </c>
      <c r="AR23" s="30" t="s">
        <v>44</v>
      </c>
      <c r="AS23" s="30" t="s">
        <v>44</v>
      </c>
      <c r="AT23" s="30" t="s">
        <v>44</v>
      </c>
      <c r="AU23" s="30" t="s">
        <v>44</v>
      </c>
      <c r="AV23" s="30" t="s">
        <v>44</v>
      </c>
      <c r="AW23" s="30" t="s">
        <v>44</v>
      </c>
      <c r="AX23" s="30" t="s">
        <v>44</v>
      </c>
      <c r="AY23" s="30" t="s">
        <v>44</v>
      </c>
      <c r="AZ23" s="30" t="s">
        <v>44</v>
      </c>
      <c r="BA23" s="30" t="s">
        <v>44</v>
      </c>
      <c r="BB23" s="30" t="s">
        <v>44</v>
      </c>
      <c r="BC23" s="30" t="s">
        <v>44</v>
      </c>
      <c r="BD23" s="30" t="s">
        <v>44</v>
      </c>
      <c r="BE23" s="30" t="s">
        <v>44</v>
      </c>
      <c r="BF23" s="30" t="s">
        <v>44</v>
      </c>
      <c r="BG23" s="30" t="s">
        <v>44</v>
      </c>
      <c r="BH23" s="30" t="s">
        <v>44</v>
      </c>
      <c r="BI23" s="30" t="s">
        <v>44</v>
      </c>
      <c r="BJ23" s="30" t="s">
        <v>44</v>
      </c>
      <c r="BK23" s="30" t="s">
        <v>44</v>
      </c>
    </row>
    <row r="24" spans="25:63" ht="14.45" customHeight="1" x14ac:dyDescent="0.25">
      <c r="Y24" s="782" t="s">
        <v>996</v>
      </c>
      <c r="Z24" s="782" t="s">
        <v>996</v>
      </c>
      <c r="AA24" s="782" t="s">
        <v>1079</v>
      </c>
      <c r="AB24" s="782" t="s">
        <v>1099</v>
      </c>
      <c r="AC24" s="44" t="s">
        <v>287</v>
      </c>
      <c r="AD24" s="44">
        <v>20511827</v>
      </c>
      <c r="AE24" s="44" t="s">
        <v>275</v>
      </c>
      <c r="AF24" s="45">
        <v>21889495</v>
      </c>
      <c r="AG24" s="44" t="s">
        <v>276</v>
      </c>
      <c r="AH24" s="43" t="s">
        <v>44</v>
      </c>
      <c r="AI24" s="781">
        <v>3381935529</v>
      </c>
      <c r="AJ24" s="45" t="s">
        <v>129</v>
      </c>
    </row>
    <row r="25" spans="25:63" ht="14.45" customHeight="1" x14ac:dyDescent="0.25">
      <c r="Y25" s="782" t="s">
        <v>997</v>
      </c>
      <c r="Z25" s="782" t="s">
        <v>997</v>
      </c>
      <c r="AA25" s="782" t="s">
        <v>1079</v>
      </c>
      <c r="AB25" s="782" t="s">
        <v>1100</v>
      </c>
      <c r="AC25" s="44" t="s">
        <v>287</v>
      </c>
      <c r="AD25" s="44">
        <v>20511827</v>
      </c>
      <c r="AE25" s="44" t="s">
        <v>275</v>
      </c>
      <c r="AF25" s="45">
        <v>21889495</v>
      </c>
      <c r="AG25" s="44" t="s">
        <v>276</v>
      </c>
      <c r="AH25" s="43" t="s">
        <v>44</v>
      </c>
      <c r="AI25" s="781">
        <v>7916342868</v>
      </c>
      <c r="AJ25" s="45" t="s">
        <v>129</v>
      </c>
    </row>
    <row r="26" spans="25:63" ht="14.45" customHeight="1" x14ac:dyDescent="0.25">
      <c r="Y26" s="782" t="s">
        <v>1004</v>
      </c>
      <c r="Z26" s="782" t="s">
        <v>1004</v>
      </c>
      <c r="AA26" s="782" t="s">
        <v>1079</v>
      </c>
      <c r="AB26" s="782" t="s">
        <v>1101</v>
      </c>
      <c r="AC26" s="48" t="s">
        <v>129</v>
      </c>
      <c r="AD26" s="48">
        <v>20511827</v>
      </c>
      <c r="AE26" s="48" t="s">
        <v>275</v>
      </c>
      <c r="AF26" s="47">
        <v>21889495</v>
      </c>
      <c r="AG26" s="48" t="s">
        <v>276</v>
      </c>
      <c r="AH26" s="43" t="s">
        <v>44</v>
      </c>
      <c r="AI26" s="781">
        <v>6655983776</v>
      </c>
      <c r="AJ26" s="45" t="s">
        <v>129</v>
      </c>
    </row>
    <row r="27" spans="25:63" ht="14.45" customHeight="1" x14ac:dyDescent="0.25">
      <c r="Y27" s="782" t="s">
        <v>1005</v>
      </c>
      <c r="Z27" s="782" t="s">
        <v>1005</v>
      </c>
      <c r="AA27" s="782" t="s">
        <v>1079</v>
      </c>
      <c r="AB27" s="782" t="s">
        <v>1102</v>
      </c>
      <c r="AC27" s="48" t="s">
        <v>129</v>
      </c>
      <c r="AD27" s="48">
        <v>20511827</v>
      </c>
      <c r="AE27" s="48" t="s">
        <v>275</v>
      </c>
      <c r="AF27" s="47">
        <v>21889495</v>
      </c>
      <c r="AG27" s="48" t="s">
        <v>276</v>
      </c>
      <c r="AH27" s="43" t="s">
        <v>44</v>
      </c>
      <c r="AI27" s="781">
        <v>8683443317</v>
      </c>
      <c r="AJ27" s="45" t="s">
        <v>129</v>
      </c>
    </row>
    <row r="28" spans="25:63" ht="14.45" customHeight="1" x14ac:dyDescent="0.25">
      <c r="Y28" s="782" t="s">
        <v>1006</v>
      </c>
      <c r="Z28" s="782" t="s">
        <v>1006</v>
      </c>
      <c r="AA28" s="782" t="s">
        <v>1079</v>
      </c>
      <c r="AB28" s="782" t="s">
        <v>1103</v>
      </c>
      <c r="AC28" s="48" t="s">
        <v>129</v>
      </c>
      <c r="AD28" s="48">
        <v>20511827</v>
      </c>
      <c r="AE28" s="48" t="s">
        <v>275</v>
      </c>
      <c r="AF28" s="47">
        <v>21889495</v>
      </c>
      <c r="AG28" s="48" t="s">
        <v>276</v>
      </c>
      <c r="AH28" s="43" t="s">
        <v>44</v>
      </c>
      <c r="AI28" s="781">
        <v>3223387026</v>
      </c>
      <c r="AJ28" s="45" t="s">
        <v>129</v>
      </c>
    </row>
    <row r="29" spans="25:63" ht="14.45" customHeight="1" x14ac:dyDescent="0.25">
      <c r="Y29" s="782" t="s">
        <v>1007</v>
      </c>
      <c r="Z29" s="782" t="s">
        <v>1007</v>
      </c>
      <c r="AA29" s="782" t="s">
        <v>1080</v>
      </c>
      <c r="AB29" s="782" t="s">
        <v>1104</v>
      </c>
      <c r="AC29" s="50" t="s">
        <v>287</v>
      </c>
      <c r="AD29" s="50">
        <v>20511827</v>
      </c>
      <c r="AE29" s="50" t="s">
        <v>275</v>
      </c>
      <c r="AF29" s="49">
        <v>21889495</v>
      </c>
      <c r="AG29" s="50" t="s">
        <v>276</v>
      </c>
      <c r="AH29" s="43" t="s">
        <v>44</v>
      </c>
      <c r="AI29" s="781">
        <v>5165584811</v>
      </c>
      <c r="AJ29" s="49" t="s">
        <v>129</v>
      </c>
    </row>
    <row r="30" spans="25:63" ht="14.45" customHeight="1" x14ac:dyDescent="0.25">
      <c r="Y30" s="782" t="s">
        <v>1008</v>
      </c>
      <c r="Z30" s="782" t="s">
        <v>1008</v>
      </c>
      <c r="AA30" s="782" t="s">
        <v>1080</v>
      </c>
      <c r="AB30" s="782" t="s">
        <v>1105</v>
      </c>
      <c r="AC30" s="22" t="s">
        <v>287</v>
      </c>
      <c r="AD30" s="22">
        <v>20511827</v>
      </c>
      <c r="AE30" s="22" t="s">
        <v>275</v>
      </c>
      <c r="AF30" s="25">
        <v>21889495</v>
      </c>
      <c r="AG30" s="22" t="s">
        <v>276</v>
      </c>
      <c r="AH30" s="43" t="s">
        <v>44</v>
      </c>
      <c r="AI30" s="781">
        <v>4379363549</v>
      </c>
      <c r="AJ30" s="1" t="s">
        <v>129</v>
      </c>
    </row>
    <row r="31" spans="25:63" ht="14.45" customHeight="1" x14ac:dyDescent="0.25">
      <c r="Y31" s="782" t="s">
        <v>1009</v>
      </c>
      <c r="Z31" s="782" t="s">
        <v>1009</v>
      </c>
      <c r="AA31" s="783" t="s">
        <v>1077</v>
      </c>
      <c r="AB31" s="782" t="s">
        <v>1106</v>
      </c>
      <c r="AC31" s="186" t="s">
        <v>290</v>
      </c>
      <c r="AD31" s="186">
        <v>20511827</v>
      </c>
      <c r="AE31" s="186" t="s">
        <v>275</v>
      </c>
      <c r="AF31" s="1">
        <v>21889495</v>
      </c>
      <c r="AG31" s="186" t="s">
        <v>276</v>
      </c>
      <c r="AH31" s="43" t="s">
        <v>44</v>
      </c>
      <c r="AI31" s="781">
        <v>4516137884</v>
      </c>
      <c r="AJ31" s="1" t="s">
        <v>129</v>
      </c>
    </row>
    <row r="32" spans="25:63" ht="14.45" customHeight="1" x14ac:dyDescent="0.25">
      <c r="Y32" s="782" t="s">
        <v>1010</v>
      </c>
      <c r="Z32" s="782" t="s">
        <v>1010</v>
      </c>
      <c r="AA32" s="783" t="s">
        <v>1077</v>
      </c>
      <c r="AB32" s="782" t="s">
        <v>1107</v>
      </c>
      <c r="AC32" s="186" t="s">
        <v>290</v>
      </c>
      <c r="AD32" s="186">
        <v>20511827</v>
      </c>
      <c r="AE32" s="186" t="s">
        <v>275</v>
      </c>
      <c r="AF32" s="1">
        <v>21889495</v>
      </c>
      <c r="AG32" s="186" t="s">
        <v>276</v>
      </c>
      <c r="AH32" s="43" t="s">
        <v>44</v>
      </c>
      <c r="AI32" s="781">
        <v>4788307030</v>
      </c>
      <c r="AJ32" s="1" t="s">
        <v>129</v>
      </c>
    </row>
    <row r="33" spans="25:36" ht="14.45" customHeight="1" x14ac:dyDescent="0.25">
      <c r="Y33" s="782" t="s">
        <v>1011</v>
      </c>
      <c r="Z33" s="782" t="s">
        <v>1011</v>
      </c>
      <c r="AA33" s="783" t="s">
        <v>1077</v>
      </c>
      <c r="AB33" s="782" t="s">
        <v>1108</v>
      </c>
      <c r="AC33" s="186" t="s">
        <v>290</v>
      </c>
      <c r="AD33" s="186">
        <v>20511827</v>
      </c>
      <c r="AE33" s="186" t="s">
        <v>275</v>
      </c>
      <c r="AF33" s="1">
        <v>21889495</v>
      </c>
      <c r="AG33" s="186" t="s">
        <v>276</v>
      </c>
      <c r="AH33" s="43" t="s">
        <v>44</v>
      </c>
      <c r="AI33" s="781">
        <v>4581960737</v>
      </c>
      <c r="AJ33" s="1" t="s">
        <v>129</v>
      </c>
    </row>
    <row r="34" spans="25:36" ht="14.45" customHeight="1" x14ac:dyDescent="0.25">
      <c r="Y34" s="782" t="s">
        <v>1012</v>
      </c>
      <c r="Z34" s="782" t="s">
        <v>1012</v>
      </c>
      <c r="AA34" s="783" t="s">
        <v>1077</v>
      </c>
      <c r="AB34" s="782" t="s">
        <v>1109</v>
      </c>
      <c r="AC34" s="186" t="s">
        <v>290</v>
      </c>
      <c r="AD34" s="186">
        <v>20511827</v>
      </c>
      <c r="AE34" s="186" t="s">
        <v>275</v>
      </c>
      <c r="AF34" s="1">
        <v>21889495</v>
      </c>
      <c r="AG34" s="186" t="s">
        <v>276</v>
      </c>
      <c r="AH34" s="43" t="s">
        <v>44</v>
      </c>
      <c r="AI34" s="781">
        <v>9585703119</v>
      </c>
      <c r="AJ34" s="1" t="s">
        <v>129</v>
      </c>
    </row>
    <row r="35" spans="25:36" ht="14.45" customHeight="1" x14ac:dyDescent="0.25">
      <c r="Y35" s="782" t="s">
        <v>1013</v>
      </c>
      <c r="Z35" s="782" t="s">
        <v>1013</v>
      </c>
      <c r="AA35" s="783" t="s">
        <v>1077</v>
      </c>
      <c r="AB35" s="782" t="s">
        <v>1110</v>
      </c>
      <c r="AC35" s="186" t="s">
        <v>290</v>
      </c>
      <c r="AD35" s="186">
        <v>20511827</v>
      </c>
      <c r="AE35" s="186" t="s">
        <v>275</v>
      </c>
      <c r="AF35" s="1">
        <v>21889495</v>
      </c>
      <c r="AG35" s="186" t="s">
        <v>276</v>
      </c>
      <c r="AH35" s="43" t="s">
        <v>44</v>
      </c>
      <c r="AI35" s="781">
        <v>2840114979</v>
      </c>
      <c r="AJ35" s="1" t="s">
        <v>129</v>
      </c>
    </row>
    <row r="36" spans="25:36" ht="14.45" customHeight="1" x14ac:dyDescent="0.25">
      <c r="Y36" s="782" t="s">
        <v>1014</v>
      </c>
      <c r="Z36" s="782" t="s">
        <v>1014</v>
      </c>
      <c r="AA36" s="783" t="s">
        <v>1077</v>
      </c>
      <c r="AB36" s="782" t="s">
        <v>1111</v>
      </c>
      <c r="AC36" s="186" t="s">
        <v>290</v>
      </c>
      <c r="AD36" s="186">
        <v>20511827</v>
      </c>
      <c r="AE36" s="186" t="s">
        <v>275</v>
      </c>
      <c r="AF36" s="1">
        <v>21889495</v>
      </c>
      <c r="AG36" s="186" t="s">
        <v>276</v>
      </c>
      <c r="AH36" s="43" t="s">
        <v>44</v>
      </c>
      <c r="AI36" s="781">
        <v>3669914466</v>
      </c>
      <c r="AJ36" s="1" t="s">
        <v>129</v>
      </c>
    </row>
    <row r="37" spans="25:36" ht="14.45" customHeight="1" x14ac:dyDescent="0.25">
      <c r="Y37" s="782" t="s">
        <v>1015</v>
      </c>
      <c r="Z37" s="782" t="s">
        <v>1015</v>
      </c>
      <c r="AA37" s="783" t="s">
        <v>1077</v>
      </c>
      <c r="AB37" s="782" t="s">
        <v>1112</v>
      </c>
      <c r="AC37" s="186" t="s">
        <v>290</v>
      </c>
      <c r="AD37" s="186">
        <v>20511827</v>
      </c>
      <c r="AE37" s="186" t="s">
        <v>275</v>
      </c>
      <c r="AF37" s="1">
        <v>21889495</v>
      </c>
      <c r="AG37" s="186" t="s">
        <v>276</v>
      </c>
      <c r="AH37" s="43" t="s">
        <v>44</v>
      </c>
      <c r="AI37" s="781">
        <v>4722665295</v>
      </c>
      <c r="AJ37" s="1" t="s">
        <v>129</v>
      </c>
    </row>
    <row r="38" spans="25:36" ht="14.45" customHeight="1" x14ac:dyDescent="0.25">
      <c r="Y38" s="782" t="s">
        <v>1016</v>
      </c>
      <c r="Z38" s="782" t="s">
        <v>1016</v>
      </c>
      <c r="AA38" s="783" t="s">
        <v>1077</v>
      </c>
      <c r="AB38" s="782" t="s">
        <v>1113</v>
      </c>
      <c r="AC38" s="186" t="s">
        <v>290</v>
      </c>
      <c r="AD38" s="186">
        <v>20511827</v>
      </c>
      <c r="AE38" s="186" t="s">
        <v>275</v>
      </c>
      <c r="AF38" s="1">
        <v>21889495</v>
      </c>
      <c r="AG38" s="186" t="s">
        <v>276</v>
      </c>
      <c r="AH38" s="43" t="s">
        <v>44</v>
      </c>
      <c r="AI38" s="781">
        <v>6601792191</v>
      </c>
      <c r="AJ38" s="1" t="s">
        <v>129</v>
      </c>
    </row>
    <row r="39" spans="25:36" ht="14.45" customHeight="1" x14ac:dyDescent="0.25">
      <c r="Y39" s="782" t="s">
        <v>1017</v>
      </c>
      <c r="Z39" s="782" t="s">
        <v>1017</v>
      </c>
      <c r="AA39" s="784" t="s">
        <v>1077</v>
      </c>
      <c r="AB39" s="782" t="s">
        <v>1114</v>
      </c>
      <c r="AC39" s="186" t="s">
        <v>290</v>
      </c>
      <c r="AD39" s="186">
        <v>20511827</v>
      </c>
      <c r="AE39" s="186" t="s">
        <v>275</v>
      </c>
      <c r="AF39" s="1">
        <v>21889495</v>
      </c>
      <c r="AG39" s="186" t="s">
        <v>276</v>
      </c>
      <c r="AH39" s="43" t="s">
        <v>44</v>
      </c>
      <c r="AI39" s="781">
        <v>7516626257</v>
      </c>
      <c r="AJ39" s="1" t="s">
        <v>129</v>
      </c>
    </row>
    <row r="40" spans="25:36" ht="14.45" customHeight="1" x14ac:dyDescent="0.25">
      <c r="Y40" s="782" t="s">
        <v>1018</v>
      </c>
      <c r="Z40" s="782" t="s">
        <v>1018</v>
      </c>
      <c r="AA40" s="784" t="s">
        <v>291</v>
      </c>
      <c r="AB40" s="782" t="s">
        <v>1115</v>
      </c>
      <c r="AC40" s="186" t="s">
        <v>290</v>
      </c>
      <c r="AD40" s="186" t="s">
        <v>60</v>
      </c>
      <c r="AE40" s="186" t="s">
        <v>60</v>
      </c>
      <c r="AF40" s="1">
        <v>21889495</v>
      </c>
      <c r="AG40" s="186" t="s">
        <v>60</v>
      </c>
      <c r="AH40" s="43" t="s">
        <v>44</v>
      </c>
      <c r="AI40" s="781">
        <v>7910224661</v>
      </c>
      <c r="AJ40" s="1" t="s">
        <v>312</v>
      </c>
    </row>
    <row r="41" spans="25:36" ht="14.45" customHeight="1" x14ac:dyDescent="0.25">
      <c r="Y41" s="782" t="s">
        <v>1019</v>
      </c>
      <c r="Z41" s="782" t="s">
        <v>1019</v>
      </c>
      <c r="AA41" s="784" t="s">
        <v>291</v>
      </c>
      <c r="AB41" s="782" t="s">
        <v>1116</v>
      </c>
      <c r="AC41" s="186" t="s">
        <v>290</v>
      </c>
      <c r="AD41" s="186" t="s">
        <v>60</v>
      </c>
      <c r="AE41" s="186" t="s">
        <v>60</v>
      </c>
      <c r="AF41" s="1">
        <v>21889495</v>
      </c>
      <c r="AG41" s="186" t="s">
        <v>60</v>
      </c>
      <c r="AH41" s="43" t="s">
        <v>44</v>
      </c>
      <c r="AI41" s="781">
        <v>1840947679</v>
      </c>
      <c r="AJ41" s="1" t="s">
        <v>312</v>
      </c>
    </row>
    <row r="42" spans="25:36" ht="14.45" customHeight="1" x14ac:dyDescent="0.25">
      <c r="Y42" s="782" t="s">
        <v>1020</v>
      </c>
      <c r="Z42" s="782" t="s">
        <v>1020</v>
      </c>
      <c r="AA42" s="784" t="s">
        <v>291</v>
      </c>
      <c r="AB42" s="782" t="s">
        <v>1117</v>
      </c>
      <c r="AC42" s="186" t="s">
        <v>290</v>
      </c>
      <c r="AD42" s="186" t="s">
        <v>60</v>
      </c>
      <c r="AE42" s="186" t="s">
        <v>60</v>
      </c>
      <c r="AF42" s="1">
        <v>21889495</v>
      </c>
      <c r="AG42" s="186" t="s">
        <v>60</v>
      </c>
      <c r="AH42" s="43" t="s">
        <v>44</v>
      </c>
      <c r="AI42" s="781">
        <v>9782152071</v>
      </c>
      <c r="AJ42" s="1" t="s">
        <v>312</v>
      </c>
    </row>
    <row r="43" spans="25:36" ht="14.45" customHeight="1" x14ac:dyDescent="0.25">
      <c r="Y43" s="782" t="s">
        <v>1021</v>
      </c>
      <c r="Z43" s="782" t="s">
        <v>1021</v>
      </c>
      <c r="AA43" s="782" t="s">
        <v>1078</v>
      </c>
      <c r="AB43" s="782" t="s">
        <v>1118</v>
      </c>
      <c r="AC43" s="44" t="s">
        <v>129</v>
      </c>
      <c r="AD43" s="44">
        <v>20511827</v>
      </c>
      <c r="AE43" s="44" t="s">
        <v>275</v>
      </c>
      <c r="AF43" s="45">
        <v>21889495</v>
      </c>
      <c r="AG43" s="44" t="s">
        <v>276</v>
      </c>
      <c r="AH43" s="43" t="s">
        <v>44</v>
      </c>
      <c r="AI43" s="781">
        <v>6681748015</v>
      </c>
      <c r="AJ43" s="45" t="s">
        <v>129</v>
      </c>
    </row>
    <row r="44" spans="25:36" ht="14.45" customHeight="1" x14ac:dyDescent="0.25">
      <c r="Y44" s="782" t="s">
        <v>1022</v>
      </c>
      <c r="Z44" s="782" t="s">
        <v>1022</v>
      </c>
      <c r="AA44" s="782" t="s">
        <v>1079</v>
      </c>
      <c r="AB44" s="782" t="s">
        <v>1119</v>
      </c>
      <c r="AC44" s="44" t="s">
        <v>129</v>
      </c>
      <c r="AD44" s="44">
        <v>20511827</v>
      </c>
      <c r="AE44" s="44" t="s">
        <v>275</v>
      </c>
      <c r="AF44" s="45">
        <v>21889495</v>
      </c>
      <c r="AG44" s="44" t="s">
        <v>276</v>
      </c>
      <c r="AH44" s="43" t="s">
        <v>44</v>
      </c>
      <c r="AI44" s="781">
        <v>2754460095</v>
      </c>
      <c r="AJ44" s="45" t="s">
        <v>129</v>
      </c>
    </row>
    <row r="45" spans="25:36" ht="14.45" customHeight="1" x14ac:dyDescent="0.25">
      <c r="Y45" s="782" t="s">
        <v>1023</v>
      </c>
      <c r="Z45" s="782" t="s">
        <v>1023</v>
      </c>
      <c r="AA45" s="782" t="s">
        <v>1079</v>
      </c>
      <c r="AB45" s="782" t="s">
        <v>1120</v>
      </c>
      <c r="AC45" s="44" t="s">
        <v>129</v>
      </c>
      <c r="AD45" s="44">
        <v>20511827</v>
      </c>
      <c r="AE45" s="44" t="s">
        <v>275</v>
      </c>
      <c r="AF45" s="45">
        <v>21889495</v>
      </c>
      <c r="AG45" s="44" t="s">
        <v>276</v>
      </c>
      <c r="AH45" s="43" t="s">
        <v>44</v>
      </c>
      <c r="AI45" s="781">
        <v>9973189563</v>
      </c>
      <c r="AJ45" s="45" t="s">
        <v>129</v>
      </c>
    </row>
    <row r="46" spans="25:36" ht="14.45" customHeight="1" x14ac:dyDescent="0.25">
      <c r="Y46" s="782" t="s">
        <v>1024</v>
      </c>
      <c r="Z46" s="782" t="s">
        <v>1024</v>
      </c>
      <c r="AA46" s="785" t="s">
        <v>1078</v>
      </c>
      <c r="AB46" s="782" t="s">
        <v>1121</v>
      </c>
      <c r="AC46" s="44" t="s">
        <v>129</v>
      </c>
      <c r="AD46" s="44">
        <v>20511827</v>
      </c>
      <c r="AE46" s="44" t="s">
        <v>275</v>
      </c>
      <c r="AF46" s="45">
        <v>21889495</v>
      </c>
      <c r="AG46" s="44" t="s">
        <v>276</v>
      </c>
      <c r="AH46" s="43" t="s">
        <v>44</v>
      </c>
      <c r="AI46" s="781">
        <v>5673506028</v>
      </c>
      <c r="AJ46" s="45" t="s">
        <v>129</v>
      </c>
    </row>
    <row r="47" spans="25:36" ht="14.45" customHeight="1" x14ac:dyDescent="0.25">
      <c r="Y47" s="782" t="s">
        <v>1025</v>
      </c>
      <c r="Z47" s="782" t="s">
        <v>1025</v>
      </c>
      <c r="AA47" s="782" t="s">
        <v>1079</v>
      </c>
      <c r="AB47" s="782" t="s">
        <v>1122</v>
      </c>
      <c r="AC47" s="44" t="s">
        <v>129</v>
      </c>
      <c r="AD47" s="44">
        <v>20511827</v>
      </c>
      <c r="AE47" s="44" t="s">
        <v>275</v>
      </c>
      <c r="AF47" s="45">
        <v>21889495</v>
      </c>
      <c r="AG47" s="44" t="s">
        <v>276</v>
      </c>
      <c r="AH47" s="43" t="s">
        <v>44</v>
      </c>
      <c r="AI47" s="781">
        <v>1577814795</v>
      </c>
      <c r="AJ47" s="45" t="s">
        <v>129</v>
      </c>
    </row>
    <row r="48" spans="25:36" ht="14.45" customHeight="1" x14ac:dyDescent="0.25">
      <c r="Y48" s="782" t="s">
        <v>1026</v>
      </c>
      <c r="Z48" s="782" t="s">
        <v>1026</v>
      </c>
      <c r="AA48" s="782" t="s">
        <v>1079</v>
      </c>
      <c r="AB48" s="782" t="s">
        <v>1123</v>
      </c>
      <c r="AC48" s="44" t="s">
        <v>129</v>
      </c>
      <c r="AD48" s="44">
        <v>20511827</v>
      </c>
      <c r="AE48" s="44" t="s">
        <v>275</v>
      </c>
      <c r="AF48" s="45">
        <v>21889495</v>
      </c>
      <c r="AG48" s="44" t="s">
        <v>276</v>
      </c>
      <c r="AH48" s="43" t="s">
        <v>44</v>
      </c>
      <c r="AI48" s="781">
        <v>1432896512</v>
      </c>
      <c r="AJ48" s="45" t="s">
        <v>129</v>
      </c>
    </row>
    <row r="49" spans="25:36" ht="14.45" customHeight="1" x14ac:dyDescent="0.25">
      <c r="Y49" s="782" t="s">
        <v>1027</v>
      </c>
      <c r="Z49" s="782" t="s">
        <v>1027</v>
      </c>
      <c r="AA49" s="782" t="s">
        <v>1078</v>
      </c>
      <c r="AB49" s="782" t="s">
        <v>1124</v>
      </c>
      <c r="AC49" s="44" t="s">
        <v>129</v>
      </c>
      <c r="AD49" s="44">
        <v>20511827</v>
      </c>
      <c r="AE49" s="44" t="s">
        <v>275</v>
      </c>
      <c r="AF49" s="45">
        <v>21889495</v>
      </c>
      <c r="AG49" s="44" t="s">
        <v>276</v>
      </c>
      <c r="AH49" s="43" t="s">
        <v>44</v>
      </c>
      <c r="AI49" s="781">
        <v>2352169193</v>
      </c>
      <c r="AJ49" s="45" t="s">
        <v>129</v>
      </c>
    </row>
    <row r="50" spans="25:36" ht="14.45" customHeight="1" x14ac:dyDescent="0.25">
      <c r="Y50" s="782" t="s">
        <v>1028</v>
      </c>
      <c r="Z50" s="782" t="s">
        <v>1028</v>
      </c>
      <c r="AA50" s="782" t="s">
        <v>1079</v>
      </c>
      <c r="AB50" s="782" t="s">
        <v>1125</v>
      </c>
      <c r="AC50" s="44" t="s">
        <v>129</v>
      </c>
      <c r="AD50" s="44">
        <v>20511827</v>
      </c>
      <c r="AE50" s="44" t="s">
        <v>275</v>
      </c>
      <c r="AF50" s="45">
        <v>21889495</v>
      </c>
      <c r="AG50" s="44" t="s">
        <v>276</v>
      </c>
      <c r="AH50" s="43" t="s">
        <v>44</v>
      </c>
      <c r="AI50" s="781">
        <v>2385374799</v>
      </c>
      <c r="AJ50" s="45" t="s">
        <v>129</v>
      </c>
    </row>
    <row r="51" spans="25:36" ht="14.45" customHeight="1" x14ac:dyDescent="0.25">
      <c r="Y51" s="782" t="s">
        <v>1029</v>
      </c>
      <c r="Z51" s="782" t="s">
        <v>1029</v>
      </c>
      <c r="AA51" s="782" t="s">
        <v>1079</v>
      </c>
      <c r="AB51" s="782" t="s">
        <v>1126</v>
      </c>
      <c r="AC51" s="44" t="s">
        <v>129</v>
      </c>
      <c r="AD51" s="44">
        <v>20511827</v>
      </c>
      <c r="AE51" s="44" t="s">
        <v>275</v>
      </c>
      <c r="AF51" s="45">
        <v>21889495</v>
      </c>
      <c r="AG51" s="44" t="s">
        <v>276</v>
      </c>
      <c r="AH51" s="43" t="s">
        <v>44</v>
      </c>
      <c r="AI51" s="781">
        <v>3557821671</v>
      </c>
      <c r="AJ51" s="45" t="s">
        <v>129</v>
      </c>
    </row>
    <row r="52" spans="25:36" ht="14.45" customHeight="1" x14ac:dyDescent="0.25">
      <c r="Y52" s="782" t="s">
        <v>1030</v>
      </c>
      <c r="Z52" s="782" t="s">
        <v>1030</v>
      </c>
      <c r="AA52" s="782" t="s">
        <v>1078</v>
      </c>
      <c r="AB52" s="782" t="s">
        <v>1127</v>
      </c>
      <c r="AC52" s="44" t="s">
        <v>129</v>
      </c>
      <c r="AD52" s="44">
        <v>20511827</v>
      </c>
      <c r="AE52" s="44" t="s">
        <v>275</v>
      </c>
      <c r="AF52" s="45">
        <v>21889495</v>
      </c>
      <c r="AG52" s="44" t="s">
        <v>276</v>
      </c>
      <c r="AH52" s="43" t="s">
        <v>44</v>
      </c>
      <c r="AI52" s="781">
        <v>8683820570</v>
      </c>
      <c r="AJ52" s="45" t="s">
        <v>129</v>
      </c>
    </row>
    <row r="53" spans="25:36" ht="14.45" customHeight="1" x14ac:dyDescent="0.25">
      <c r="Y53" s="782" t="s">
        <v>1031</v>
      </c>
      <c r="Z53" s="782" t="s">
        <v>1031</v>
      </c>
      <c r="AA53" s="782" t="s">
        <v>1078</v>
      </c>
      <c r="AB53" s="782" t="s">
        <v>1128</v>
      </c>
      <c r="AC53" s="44" t="s">
        <v>129</v>
      </c>
      <c r="AD53" s="44">
        <v>20511827</v>
      </c>
      <c r="AE53" s="44" t="s">
        <v>275</v>
      </c>
      <c r="AF53" s="45">
        <v>21889495</v>
      </c>
      <c r="AG53" s="44" t="s">
        <v>276</v>
      </c>
      <c r="AH53" s="43" t="s">
        <v>44</v>
      </c>
      <c r="AI53" s="781">
        <v>6869348136</v>
      </c>
      <c r="AJ53" s="45" t="s">
        <v>129</v>
      </c>
    </row>
    <row r="54" spans="25:36" ht="14.45" customHeight="1" x14ac:dyDescent="0.25">
      <c r="Y54" s="782" t="s">
        <v>1032</v>
      </c>
      <c r="Z54" s="782" t="s">
        <v>1032</v>
      </c>
      <c r="AA54" s="782" t="s">
        <v>1078</v>
      </c>
      <c r="AB54" s="782" t="s">
        <v>1129</v>
      </c>
      <c r="AC54" s="44" t="s">
        <v>129</v>
      </c>
      <c r="AD54" s="44">
        <v>20511827</v>
      </c>
      <c r="AE54" s="44" t="s">
        <v>275</v>
      </c>
      <c r="AF54" s="45">
        <v>21889495</v>
      </c>
      <c r="AG54" s="44" t="s">
        <v>276</v>
      </c>
      <c r="AH54" s="43" t="s">
        <v>44</v>
      </c>
      <c r="AI54" s="781">
        <v>5996328591</v>
      </c>
      <c r="AJ54" s="45" t="s">
        <v>129</v>
      </c>
    </row>
    <row r="55" spans="25:36" ht="14.45" customHeight="1" x14ac:dyDescent="0.25">
      <c r="Y55" s="782" t="s">
        <v>1033</v>
      </c>
      <c r="Z55" s="782" t="s">
        <v>1033</v>
      </c>
      <c r="AA55" s="782" t="s">
        <v>1080</v>
      </c>
      <c r="AB55" s="782" t="s">
        <v>1130</v>
      </c>
      <c r="AC55" s="44" t="s">
        <v>129</v>
      </c>
      <c r="AD55" s="44">
        <v>20511827</v>
      </c>
      <c r="AE55" s="44" t="s">
        <v>275</v>
      </c>
      <c r="AF55" s="45">
        <v>21889495</v>
      </c>
      <c r="AG55" s="44" t="s">
        <v>276</v>
      </c>
      <c r="AH55" s="43" t="s">
        <v>44</v>
      </c>
      <c r="AI55" s="781">
        <v>3158604575</v>
      </c>
      <c r="AJ55" s="45" t="s">
        <v>129</v>
      </c>
    </row>
    <row r="56" spans="25:36" ht="14.45" customHeight="1" x14ac:dyDescent="0.25">
      <c r="Y56" s="782" t="s">
        <v>1034</v>
      </c>
      <c r="Z56" s="782" t="s">
        <v>1034</v>
      </c>
      <c r="AA56" s="782" t="s">
        <v>1080</v>
      </c>
      <c r="AB56" s="782" t="s">
        <v>1131</v>
      </c>
      <c r="AC56" s="44" t="s">
        <v>129</v>
      </c>
      <c r="AD56" s="44">
        <v>20511827</v>
      </c>
      <c r="AE56" s="44" t="s">
        <v>275</v>
      </c>
      <c r="AF56" s="45">
        <v>21889495</v>
      </c>
      <c r="AG56" s="44" t="s">
        <v>276</v>
      </c>
      <c r="AH56" s="43" t="s">
        <v>44</v>
      </c>
      <c r="AI56" s="781">
        <v>7201532252</v>
      </c>
      <c r="AJ56" s="45" t="s">
        <v>129</v>
      </c>
    </row>
    <row r="57" spans="25:36" ht="14.45" customHeight="1" x14ac:dyDescent="0.25">
      <c r="Y57" s="782" t="s">
        <v>1035</v>
      </c>
      <c r="Z57" s="782" t="s">
        <v>1035</v>
      </c>
      <c r="AA57" s="782" t="s">
        <v>1077</v>
      </c>
      <c r="AB57" s="782" t="s">
        <v>1132</v>
      </c>
      <c r="AC57" s="44" t="s">
        <v>129</v>
      </c>
      <c r="AD57" s="44">
        <v>20511827</v>
      </c>
      <c r="AE57" s="44" t="s">
        <v>275</v>
      </c>
      <c r="AF57" s="45">
        <v>21889495</v>
      </c>
      <c r="AG57" s="44" t="s">
        <v>276</v>
      </c>
      <c r="AH57" s="43" t="s">
        <v>44</v>
      </c>
      <c r="AI57" s="781">
        <v>7604066498</v>
      </c>
      <c r="AJ57" s="45" t="s">
        <v>129</v>
      </c>
    </row>
    <row r="58" spans="25:36" ht="14.45" customHeight="1" x14ac:dyDescent="0.25">
      <c r="Y58" s="782" t="s">
        <v>1036</v>
      </c>
      <c r="Z58" s="782" t="s">
        <v>1036</v>
      </c>
      <c r="AA58" s="782" t="s">
        <v>1077</v>
      </c>
      <c r="AB58" s="782" t="s">
        <v>1133</v>
      </c>
      <c r="AC58" s="44" t="s">
        <v>129</v>
      </c>
      <c r="AD58" s="44">
        <v>20511827</v>
      </c>
      <c r="AE58" s="44" t="s">
        <v>275</v>
      </c>
      <c r="AF58" s="45">
        <v>21889495</v>
      </c>
      <c r="AG58" s="44" t="s">
        <v>276</v>
      </c>
      <c r="AH58" s="43" t="s">
        <v>44</v>
      </c>
      <c r="AI58" s="781">
        <v>1596334018</v>
      </c>
      <c r="AJ58" s="45" t="s">
        <v>129</v>
      </c>
    </row>
    <row r="59" spans="25:36" ht="14.45" customHeight="1" x14ac:dyDescent="0.25">
      <c r="Y59" s="782" t="s">
        <v>1037</v>
      </c>
      <c r="Z59" s="782" t="s">
        <v>1037</v>
      </c>
      <c r="AA59" s="782" t="s">
        <v>1077</v>
      </c>
      <c r="AB59" s="782" t="s">
        <v>1134</v>
      </c>
      <c r="AC59" s="44" t="s">
        <v>129</v>
      </c>
      <c r="AD59" s="44">
        <v>20511827</v>
      </c>
      <c r="AE59" s="44" t="s">
        <v>275</v>
      </c>
      <c r="AF59" s="45">
        <v>21889495</v>
      </c>
      <c r="AG59" s="44" t="s">
        <v>276</v>
      </c>
      <c r="AH59" s="43" t="s">
        <v>44</v>
      </c>
      <c r="AI59" s="781">
        <v>1334869267</v>
      </c>
      <c r="AJ59" s="45" t="s">
        <v>129</v>
      </c>
    </row>
    <row r="60" spans="25:36" ht="14.45" customHeight="1" x14ac:dyDescent="0.25">
      <c r="Y60" s="782" t="s">
        <v>1038</v>
      </c>
      <c r="Z60" s="782" t="s">
        <v>1038</v>
      </c>
      <c r="AA60" s="782" t="s">
        <v>1077</v>
      </c>
      <c r="AB60" s="782" t="s">
        <v>1135</v>
      </c>
      <c r="AC60" s="44" t="s">
        <v>129</v>
      </c>
      <c r="AD60" s="44">
        <v>20511827</v>
      </c>
      <c r="AE60" s="44" t="s">
        <v>275</v>
      </c>
      <c r="AF60" s="45">
        <v>21889495</v>
      </c>
      <c r="AG60" s="44" t="s">
        <v>276</v>
      </c>
      <c r="AH60" s="43" t="s">
        <v>44</v>
      </c>
      <c r="AI60" s="781">
        <v>9417896204</v>
      </c>
      <c r="AJ60" s="45" t="s">
        <v>129</v>
      </c>
    </row>
    <row r="61" spans="25:36" ht="14.45" customHeight="1" x14ac:dyDescent="0.25">
      <c r="Y61" s="782" t="s">
        <v>1039</v>
      </c>
      <c r="Z61" s="782" t="s">
        <v>1039</v>
      </c>
      <c r="AA61" s="782" t="s">
        <v>1077</v>
      </c>
      <c r="AB61" s="782" t="s">
        <v>1136</v>
      </c>
      <c r="AC61" s="44" t="s">
        <v>129</v>
      </c>
      <c r="AD61" s="44">
        <v>20511827</v>
      </c>
      <c r="AE61" s="44" t="s">
        <v>275</v>
      </c>
      <c r="AF61" s="45">
        <v>21889495</v>
      </c>
      <c r="AG61" s="44" t="s">
        <v>276</v>
      </c>
      <c r="AH61" s="43" t="s">
        <v>44</v>
      </c>
      <c r="AI61" s="781">
        <v>7760794610</v>
      </c>
      <c r="AJ61" s="45" t="s">
        <v>129</v>
      </c>
    </row>
    <row r="62" spans="25:36" ht="14.45" customHeight="1" x14ac:dyDescent="0.25">
      <c r="Y62" s="782" t="s">
        <v>1040</v>
      </c>
      <c r="Z62" s="782" t="s">
        <v>1040</v>
      </c>
      <c r="AA62" s="782" t="s">
        <v>1077</v>
      </c>
      <c r="AB62" s="782" t="s">
        <v>1137</v>
      </c>
      <c r="AC62" s="44" t="s">
        <v>129</v>
      </c>
      <c r="AD62" s="44">
        <v>20511827</v>
      </c>
      <c r="AE62" s="44" t="s">
        <v>275</v>
      </c>
      <c r="AF62" s="45">
        <v>21889495</v>
      </c>
      <c r="AG62" s="44" t="s">
        <v>276</v>
      </c>
      <c r="AH62" s="43" t="s">
        <v>44</v>
      </c>
      <c r="AI62" s="781">
        <v>2214871567</v>
      </c>
      <c r="AJ62" s="45" t="s">
        <v>129</v>
      </c>
    </row>
    <row r="63" spans="25:36" ht="14.45" customHeight="1" x14ac:dyDescent="0.25">
      <c r="Y63" s="782" t="s">
        <v>1041</v>
      </c>
      <c r="Z63" s="782" t="s">
        <v>1041</v>
      </c>
      <c r="AA63" s="782" t="s">
        <v>1077</v>
      </c>
      <c r="AB63" s="782" t="s">
        <v>1138</v>
      </c>
      <c r="AC63" s="44" t="s">
        <v>129</v>
      </c>
      <c r="AD63" s="44">
        <v>20511827</v>
      </c>
      <c r="AE63" s="44" t="s">
        <v>275</v>
      </c>
      <c r="AF63" s="45">
        <v>21889495</v>
      </c>
      <c r="AG63" s="44" t="s">
        <v>276</v>
      </c>
      <c r="AH63" s="43" t="s">
        <v>44</v>
      </c>
      <c r="AI63" s="781">
        <v>5271910340</v>
      </c>
      <c r="AJ63" s="45" t="s">
        <v>129</v>
      </c>
    </row>
    <row r="64" spans="25:36" ht="14.45" customHeight="1" x14ac:dyDescent="0.25">
      <c r="Y64" s="782" t="s">
        <v>1042</v>
      </c>
      <c r="Z64" s="782" t="s">
        <v>1042</v>
      </c>
      <c r="AA64" s="782" t="s">
        <v>1078</v>
      </c>
      <c r="AB64" s="782" t="s">
        <v>1139</v>
      </c>
      <c r="AC64" s="44" t="s">
        <v>129</v>
      </c>
      <c r="AD64" s="44">
        <v>20511827</v>
      </c>
      <c r="AE64" s="44" t="s">
        <v>275</v>
      </c>
      <c r="AF64" s="45">
        <v>21889495</v>
      </c>
      <c r="AG64" s="44" t="s">
        <v>276</v>
      </c>
      <c r="AH64" s="43" t="s">
        <v>44</v>
      </c>
      <c r="AI64" s="781">
        <v>9142419595</v>
      </c>
      <c r="AJ64" s="45" t="s">
        <v>129</v>
      </c>
    </row>
    <row r="65" spans="25:36" ht="14.45" customHeight="1" x14ac:dyDescent="0.25">
      <c r="Y65" s="782" t="s">
        <v>1043</v>
      </c>
      <c r="Z65" s="782" t="s">
        <v>1043</v>
      </c>
      <c r="AA65" s="782" t="s">
        <v>1078</v>
      </c>
      <c r="AB65" s="782" t="s">
        <v>1140</v>
      </c>
      <c r="AC65" s="44" t="s">
        <v>129</v>
      </c>
      <c r="AD65" s="44">
        <v>20511827</v>
      </c>
      <c r="AE65" s="44" t="s">
        <v>275</v>
      </c>
      <c r="AF65" s="45">
        <v>21889495</v>
      </c>
      <c r="AG65" s="44" t="s">
        <v>276</v>
      </c>
      <c r="AH65" s="43" t="s">
        <v>44</v>
      </c>
      <c r="AI65" s="781">
        <v>2968653240</v>
      </c>
      <c r="AJ65" s="45" t="s">
        <v>129</v>
      </c>
    </row>
    <row r="66" spans="25:36" ht="14.45" customHeight="1" x14ac:dyDescent="0.25">
      <c r="Y66" s="782" t="s">
        <v>1044</v>
      </c>
      <c r="Z66" s="782" t="s">
        <v>1044</v>
      </c>
      <c r="AA66" s="782" t="s">
        <v>1078</v>
      </c>
      <c r="AB66" s="782" t="s">
        <v>1141</v>
      </c>
      <c r="AC66" s="44" t="s">
        <v>129</v>
      </c>
      <c r="AD66" s="44">
        <v>20511827</v>
      </c>
      <c r="AE66" s="44" t="s">
        <v>275</v>
      </c>
      <c r="AF66" s="45">
        <v>21889495</v>
      </c>
      <c r="AG66" s="44" t="s">
        <v>276</v>
      </c>
      <c r="AH66" s="43" t="s">
        <v>44</v>
      </c>
      <c r="AI66" s="781">
        <v>1440802572</v>
      </c>
      <c r="AJ66" s="45" t="s">
        <v>129</v>
      </c>
    </row>
    <row r="67" spans="25:36" ht="14.45" customHeight="1" x14ac:dyDescent="0.25">
      <c r="Y67" s="782" t="s">
        <v>1045</v>
      </c>
      <c r="Z67" s="782" t="s">
        <v>1045</v>
      </c>
      <c r="AA67" s="782" t="s">
        <v>1078</v>
      </c>
      <c r="AB67" s="782" t="s">
        <v>1142</v>
      </c>
      <c r="AC67" s="44" t="s">
        <v>129</v>
      </c>
      <c r="AD67" s="44">
        <v>20511827</v>
      </c>
      <c r="AE67" s="44" t="s">
        <v>275</v>
      </c>
      <c r="AF67" s="45">
        <v>21889495</v>
      </c>
      <c r="AG67" s="44" t="s">
        <v>276</v>
      </c>
      <c r="AH67" s="43" t="s">
        <v>44</v>
      </c>
      <c r="AI67" s="781">
        <v>8800602415</v>
      </c>
      <c r="AJ67" s="45" t="s">
        <v>129</v>
      </c>
    </row>
    <row r="68" spans="25:36" ht="14.45" customHeight="1" x14ac:dyDescent="0.25">
      <c r="Y68" s="782" t="s">
        <v>1046</v>
      </c>
      <c r="Z68" s="782" t="s">
        <v>1046</v>
      </c>
      <c r="AA68" s="782" t="s">
        <v>1077</v>
      </c>
      <c r="AB68" s="782" t="s">
        <v>1143</v>
      </c>
      <c r="AC68" s="44" t="s">
        <v>129</v>
      </c>
      <c r="AD68" s="44">
        <v>20511827</v>
      </c>
      <c r="AE68" s="44" t="s">
        <v>275</v>
      </c>
      <c r="AF68" s="45">
        <v>21889495</v>
      </c>
      <c r="AG68" s="44" t="s">
        <v>276</v>
      </c>
      <c r="AH68" s="43" t="s">
        <v>44</v>
      </c>
      <c r="AI68" s="781">
        <v>4342575720</v>
      </c>
      <c r="AJ68" s="45" t="s">
        <v>129</v>
      </c>
    </row>
    <row r="69" spans="25:36" ht="14.45" customHeight="1" x14ac:dyDescent="0.25">
      <c r="Y69" s="782" t="s">
        <v>1047</v>
      </c>
      <c r="Z69" s="782" t="s">
        <v>1047</v>
      </c>
      <c r="AA69" s="782" t="s">
        <v>1077</v>
      </c>
      <c r="AB69" s="782" t="s">
        <v>1144</v>
      </c>
      <c r="AC69" s="44" t="s">
        <v>129</v>
      </c>
      <c r="AD69" s="44">
        <v>20511827</v>
      </c>
      <c r="AE69" s="44" t="s">
        <v>275</v>
      </c>
      <c r="AF69" s="45">
        <v>21889495</v>
      </c>
      <c r="AG69" s="44" t="s">
        <v>276</v>
      </c>
      <c r="AH69" s="43" t="s">
        <v>44</v>
      </c>
      <c r="AI69" s="781">
        <v>2768809388</v>
      </c>
      <c r="AJ69" s="45" t="s">
        <v>129</v>
      </c>
    </row>
    <row r="70" spans="25:36" ht="14.45" customHeight="1" x14ac:dyDescent="0.25">
      <c r="Y70" s="782" t="s">
        <v>1048</v>
      </c>
      <c r="Z70" s="782" t="s">
        <v>1048</v>
      </c>
      <c r="AA70" s="782" t="s">
        <v>1077</v>
      </c>
      <c r="AB70" s="782" t="s">
        <v>1145</v>
      </c>
      <c r="AC70" s="44" t="s">
        <v>129</v>
      </c>
      <c r="AD70" s="44">
        <v>20511827</v>
      </c>
      <c r="AE70" s="44" t="s">
        <v>275</v>
      </c>
      <c r="AF70" s="45">
        <v>21889495</v>
      </c>
      <c r="AG70" s="44" t="s">
        <v>276</v>
      </c>
      <c r="AH70" s="43" t="s">
        <v>44</v>
      </c>
      <c r="AI70" s="781">
        <v>6834989488</v>
      </c>
      <c r="AJ70" s="45" t="s">
        <v>129</v>
      </c>
    </row>
    <row r="71" spans="25:36" ht="14.45" customHeight="1" x14ac:dyDescent="0.25">
      <c r="Y71" s="782" t="s">
        <v>1049</v>
      </c>
      <c r="Z71" s="782" t="s">
        <v>1049</v>
      </c>
      <c r="AA71" s="782" t="s">
        <v>1078</v>
      </c>
      <c r="AB71" s="782" t="s">
        <v>1146</v>
      </c>
      <c r="AC71" s="44" t="s">
        <v>129</v>
      </c>
      <c r="AD71" s="44">
        <v>20511827</v>
      </c>
      <c r="AE71" s="44" t="s">
        <v>275</v>
      </c>
      <c r="AF71" s="45">
        <v>21889495</v>
      </c>
      <c r="AG71" s="44" t="s">
        <v>276</v>
      </c>
      <c r="AH71" s="43" t="s">
        <v>44</v>
      </c>
      <c r="AI71" s="781">
        <v>2491912402</v>
      </c>
      <c r="AJ71" s="45" t="s">
        <v>129</v>
      </c>
    </row>
    <row r="72" spans="25:36" ht="14.45" customHeight="1" x14ac:dyDescent="0.25">
      <c r="Y72" s="782" t="s">
        <v>1050</v>
      </c>
      <c r="Z72" s="782" t="s">
        <v>1050</v>
      </c>
      <c r="AA72" s="782" t="s">
        <v>1078</v>
      </c>
      <c r="AB72" s="782" t="s">
        <v>1147</v>
      </c>
      <c r="AC72" s="44" t="s">
        <v>129</v>
      </c>
      <c r="AD72" s="44">
        <v>20511827</v>
      </c>
      <c r="AE72" s="44" t="s">
        <v>275</v>
      </c>
      <c r="AF72" s="45">
        <v>21889495</v>
      </c>
      <c r="AG72" s="44" t="s">
        <v>276</v>
      </c>
      <c r="AH72" s="43" t="s">
        <v>44</v>
      </c>
      <c r="AI72" s="781">
        <v>4648283840</v>
      </c>
      <c r="AJ72" s="45" t="s">
        <v>129</v>
      </c>
    </row>
    <row r="73" spans="25:36" ht="14.45" customHeight="1" x14ac:dyDescent="0.25">
      <c r="Y73" s="782" t="s">
        <v>1051</v>
      </c>
      <c r="Z73" s="782" t="s">
        <v>1051</v>
      </c>
      <c r="AA73" s="782" t="s">
        <v>1078</v>
      </c>
      <c r="AB73" s="782" t="s">
        <v>1148</v>
      </c>
      <c r="AC73" s="44" t="s">
        <v>129</v>
      </c>
      <c r="AD73" s="44">
        <v>20511827</v>
      </c>
      <c r="AE73" s="44" t="s">
        <v>275</v>
      </c>
      <c r="AF73" s="45">
        <v>21889495</v>
      </c>
      <c r="AG73" s="44" t="s">
        <v>276</v>
      </c>
      <c r="AH73" s="43" t="s">
        <v>44</v>
      </c>
      <c r="AI73" s="781">
        <v>9923743560</v>
      </c>
      <c r="AJ73" s="45" t="s">
        <v>129</v>
      </c>
    </row>
    <row r="74" spans="25:36" ht="14.45" customHeight="1" x14ac:dyDescent="0.25">
      <c r="Y74" s="782" t="s">
        <v>1052</v>
      </c>
      <c r="Z74" s="782" t="s">
        <v>1052</v>
      </c>
      <c r="AA74" s="782" t="s">
        <v>1077</v>
      </c>
      <c r="AB74" s="782" t="s">
        <v>1149</v>
      </c>
      <c r="AC74" s="44" t="s">
        <v>129</v>
      </c>
      <c r="AD74" s="44">
        <v>20511827</v>
      </c>
      <c r="AE74" s="44" t="s">
        <v>275</v>
      </c>
      <c r="AF74" s="45">
        <v>21889495</v>
      </c>
      <c r="AG74" s="44" t="s">
        <v>276</v>
      </c>
      <c r="AH74" s="43" t="s">
        <v>44</v>
      </c>
      <c r="AI74" s="781">
        <v>7631922509</v>
      </c>
      <c r="AJ74" s="45" t="s">
        <v>129</v>
      </c>
    </row>
    <row r="75" spans="25:36" ht="14.45" customHeight="1" x14ac:dyDescent="0.25">
      <c r="Y75" s="782" t="s">
        <v>1053</v>
      </c>
      <c r="Z75" s="782" t="s">
        <v>1053</v>
      </c>
      <c r="AA75" s="782" t="s">
        <v>1077</v>
      </c>
      <c r="AB75" s="782" t="s">
        <v>1150</v>
      </c>
      <c r="AC75" s="44" t="s">
        <v>129</v>
      </c>
      <c r="AD75" s="44">
        <v>20511827</v>
      </c>
      <c r="AE75" s="44" t="s">
        <v>275</v>
      </c>
      <c r="AF75" s="45">
        <v>21889495</v>
      </c>
      <c r="AG75" s="44" t="s">
        <v>276</v>
      </c>
      <c r="AH75" s="43" t="s">
        <v>44</v>
      </c>
      <c r="AI75" s="781">
        <v>9447504218</v>
      </c>
      <c r="AJ75" s="45" t="s">
        <v>129</v>
      </c>
    </row>
    <row r="76" spans="25:36" ht="14.45" customHeight="1" x14ac:dyDescent="0.25">
      <c r="Y76" s="782" t="s">
        <v>1054</v>
      </c>
      <c r="Z76" s="782" t="s">
        <v>1054</v>
      </c>
      <c r="AA76" s="782" t="s">
        <v>1077</v>
      </c>
      <c r="AB76" s="782" t="s">
        <v>1151</v>
      </c>
      <c r="AC76" s="44" t="s">
        <v>129</v>
      </c>
      <c r="AD76" s="44">
        <v>20511827</v>
      </c>
      <c r="AE76" s="44" t="s">
        <v>275</v>
      </c>
      <c r="AF76" s="45">
        <v>21889495</v>
      </c>
      <c r="AG76" s="44" t="s">
        <v>276</v>
      </c>
      <c r="AH76" s="43" t="s">
        <v>44</v>
      </c>
      <c r="AI76" s="781">
        <v>4151908130</v>
      </c>
      <c r="AJ76" s="45" t="s">
        <v>129</v>
      </c>
    </row>
    <row r="77" spans="25:36" ht="14.45" customHeight="1" x14ac:dyDescent="0.25">
      <c r="Y77" s="782" t="s">
        <v>1055</v>
      </c>
      <c r="Z77" s="782" t="s">
        <v>1055</v>
      </c>
      <c r="AA77" s="782" t="s">
        <v>1077</v>
      </c>
      <c r="AB77" s="782" t="s">
        <v>1152</v>
      </c>
      <c r="AC77" s="44" t="s">
        <v>129</v>
      </c>
      <c r="AD77" s="44">
        <v>20511827</v>
      </c>
      <c r="AE77" s="44" t="s">
        <v>275</v>
      </c>
      <c r="AF77" s="45">
        <v>21889495</v>
      </c>
      <c r="AG77" s="44" t="s">
        <v>276</v>
      </c>
      <c r="AH77" s="43" t="s">
        <v>44</v>
      </c>
      <c r="AI77" s="781">
        <v>2166886602</v>
      </c>
      <c r="AJ77" s="45" t="s">
        <v>129</v>
      </c>
    </row>
    <row r="78" spans="25:36" ht="14.45" customHeight="1" x14ac:dyDescent="0.25">
      <c r="Y78" s="782" t="s">
        <v>1056</v>
      </c>
      <c r="Z78" s="782" t="s">
        <v>1056</v>
      </c>
      <c r="AA78" s="782" t="s">
        <v>1077</v>
      </c>
      <c r="AB78" s="782" t="s">
        <v>1153</v>
      </c>
      <c r="AC78" s="44" t="s">
        <v>129</v>
      </c>
      <c r="AD78" s="44">
        <v>20511827</v>
      </c>
      <c r="AE78" s="44" t="s">
        <v>275</v>
      </c>
      <c r="AF78" s="45">
        <v>21889495</v>
      </c>
      <c r="AG78" s="44" t="s">
        <v>276</v>
      </c>
      <c r="AH78" s="43" t="s">
        <v>44</v>
      </c>
      <c r="AI78" s="781">
        <v>3801326201</v>
      </c>
      <c r="AJ78" s="45" t="s">
        <v>129</v>
      </c>
    </row>
    <row r="79" spans="25:36" ht="14.45" customHeight="1" x14ac:dyDescent="0.25">
      <c r="Y79" s="782" t="s">
        <v>1057</v>
      </c>
      <c r="Z79" s="782" t="s">
        <v>1057</v>
      </c>
      <c r="AA79" s="782" t="s">
        <v>1077</v>
      </c>
      <c r="AB79" s="782" t="s">
        <v>1154</v>
      </c>
      <c r="AC79" s="44" t="s">
        <v>129</v>
      </c>
      <c r="AD79" s="44">
        <v>20511827</v>
      </c>
      <c r="AE79" s="44" t="s">
        <v>275</v>
      </c>
      <c r="AF79" s="45">
        <v>21889495</v>
      </c>
      <c r="AG79" s="44" t="s">
        <v>276</v>
      </c>
      <c r="AH79" s="43" t="s">
        <v>44</v>
      </c>
      <c r="AI79" s="781">
        <v>3979693941</v>
      </c>
      <c r="AJ79" s="45" t="s">
        <v>129</v>
      </c>
    </row>
    <row r="80" spans="25:36" ht="14.45" customHeight="1" x14ac:dyDescent="0.25">
      <c r="Y80" s="782" t="s">
        <v>1058</v>
      </c>
      <c r="Z80" s="782" t="s">
        <v>1058</v>
      </c>
      <c r="AA80" s="782" t="s">
        <v>1077</v>
      </c>
      <c r="AB80" s="782" t="s">
        <v>1155</v>
      </c>
      <c r="AC80" s="44" t="s">
        <v>129</v>
      </c>
      <c r="AD80" s="44">
        <v>20511827</v>
      </c>
      <c r="AE80" s="44" t="s">
        <v>275</v>
      </c>
      <c r="AF80" s="45">
        <v>21889495</v>
      </c>
      <c r="AG80" s="44" t="s">
        <v>276</v>
      </c>
      <c r="AH80" s="43" t="s">
        <v>44</v>
      </c>
      <c r="AI80" s="781">
        <v>1967353994</v>
      </c>
      <c r="AJ80" s="45" t="s">
        <v>129</v>
      </c>
    </row>
    <row r="81" spans="25:36" ht="14.45" customHeight="1" x14ac:dyDescent="0.25">
      <c r="Y81" s="782" t="s">
        <v>1059</v>
      </c>
      <c r="Z81" s="782" t="s">
        <v>1059</v>
      </c>
      <c r="AA81" s="782" t="s">
        <v>1077</v>
      </c>
      <c r="AB81" s="782" t="s">
        <v>1156</v>
      </c>
      <c r="AC81" s="44" t="s">
        <v>129</v>
      </c>
      <c r="AD81" s="44">
        <v>20511827</v>
      </c>
      <c r="AE81" s="44" t="s">
        <v>275</v>
      </c>
      <c r="AF81" s="45">
        <v>21889495</v>
      </c>
      <c r="AG81" s="44" t="s">
        <v>276</v>
      </c>
      <c r="AH81" s="43" t="s">
        <v>44</v>
      </c>
      <c r="AI81" s="781">
        <v>7488400751</v>
      </c>
      <c r="AJ81" s="45" t="s">
        <v>129</v>
      </c>
    </row>
    <row r="82" spans="25:36" ht="14.45" customHeight="1" x14ac:dyDescent="0.25">
      <c r="Y82" s="782" t="s">
        <v>1060</v>
      </c>
      <c r="Z82" s="782" t="s">
        <v>1060</v>
      </c>
      <c r="AA82" s="782" t="s">
        <v>1077</v>
      </c>
      <c r="AB82" s="782" t="s">
        <v>1157</v>
      </c>
      <c r="AC82" s="44" t="s">
        <v>129</v>
      </c>
      <c r="AD82" s="44">
        <v>20511827</v>
      </c>
      <c r="AE82" s="44" t="s">
        <v>275</v>
      </c>
      <c r="AF82" s="45">
        <v>21889495</v>
      </c>
      <c r="AG82" s="44" t="s">
        <v>276</v>
      </c>
      <c r="AH82" s="46" t="s">
        <v>44</v>
      </c>
      <c r="AI82" s="781">
        <v>5761070193</v>
      </c>
      <c r="AJ82" s="45" t="s">
        <v>129</v>
      </c>
    </row>
    <row r="83" spans="25:36" ht="14.45" customHeight="1" x14ac:dyDescent="0.25">
      <c r="Y83" s="782" t="s">
        <v>1061</v>
      </c>
      <c r="Z83" s="782" t="s">
        <v>1061</v>
      </c>
      <c r="AA83" s="785" t="s">
        <v>1077</v>
      </c>
      <c r="AB83" s="782" t="s">
        <v>1158</v>
      </c>
      <c r="AC83" s="44" t="s">
        <v>129</v>
      </c>
      <c r="AD83" s="44">
        <v>20511827</v>
      </c>
      <c r="AE83" s="44" t="s">
        <v>275</v>
      </c>
      <c r="AF83" s="45">
        <v>21889495</v>
      </c>
      <c r="AG83" s="44" t="s">
        <v>276</v>
      </c>
      <c r="AH83" s="43" t="s">
        <v>44</v>
      </c>
      <c r="AI83" s="781">
        <v>4762757867</v>
      </c>
      <c r="AJ83" s="45" t="s">
        <v>129</v>
      </c>
    </row>
    <row r="84" spans="25:36" ht="14.45" customHeight="1" x14ac:dyDescent="0.25">
      <c r="Y84" s="782" t="s">
        <v>1062</v>
      </c>
      <c r="Z84" s="782" t="s">
        <v>1062</v>
      </c>
      <c r="AA84" s="782" t="s">
        <v>1077</v>
      </c>
      <c r="AB84" s="782" t="s">
        <v>1159</v>
      </c>
      <c r="AC84" s="44" t="s">
        <v>129</v>
      </c>
      <c r="AD84" s="44">
        <v>20511827</v>
      </c>
      <c r="AE84" s="44" t="s">
        <v>275</v>
      </c>
      <c r="AF84" s="45">
        <v>21889495</v>
      </c>
      <c r="AG84" s="44" t="s">
        <v>276</v>
      </c>
      <c r="AH84" s="43" t="s">
        <v>44</v>
      </c>
      <c r="AI84" s="781">
        <v>1448397369</v>
      </c>
      <c r="AJ84" s="45" t="s">
        <v>129</v>
      </c>
    </row>
    <row r="85" spans="25:36" ht="14.45" customHeight="1" x14ac:dyDescent="0.25">
      <c r="Y85" s="782" t="s">
        <v>1063</v>
      </c>
      <c r="Z85" s="782" t="s">
        <v>1063</v>
      </c>
      <c r="AA85" s="782" t="s">
        <v>1077</v>
      </c>
      <c r="AB85" s="782" t="s">
        <v>1160</v>
      </c>
      <c r="AC85" s="44" t="s">
        <v>129</v>
      </c>
      <c r="AD85" s="44">
        <v>20511827</v>
      </c>
      <c r="AE85" s="44" t="s">
        <v>275</v>
      </c>
      <c r="AF85" s="45">
        <v>21889495</v>
      </c>
      <c r="AG85" s="44" t="s">
        <v>276</v>
      </c>
      <c r="AH85" s="43" t="s">
        <v>44</v>
      </c>
      <c r="AI85" s="781">
        <v>5933595510</v>
      </c>
      <c r="AJ85" s="45" t="s">
        <v>129</v>
      </c>
    </row>
    <row r="86" spans="25:36" ht="14.45" customHeight="1" x14ac:dyDescent="0.25">
      <c r="Y86" s="782" t="s">
        <v>1064</v>
      </c>
      <c r="Z86" s="782" t="s">
        <v>1064</v>
      </c>
      <c r="AA86" s="782" t="s">
        <v>1077</v>
      </c>
      <c r="AB86" s="782" t="s">
        <v>1161</v>
      </c>
      <c r="AC86" s="44" t="s">
        <v>129</v>
      </c>
      <c r="AD86" s="44">
        <v>20511827</v>
      </c>
      <c r="AE86" s="44" t="s">
        <v>275</v>
      </c>
      <c r="AF86" s="45">
        <v>21889495</v>
      </c>
      <c r="AG86" s="44" t="s">
        <v>276</v>
      </c>
      <c r="AH86" s="43" t="s">
        <v>44</v>
      </c>
      <c r="AI86" s="781">
        <v>2011116518</v>
      </c>
      <c r="AJ86" s="45" t="s">
        <v>129</v>
      </c>
    </row>
    <row r="87" spans="25:36" ht="14.45" customHeight="1" x14ac:dyDescent="0.25">
      <c r="Y87" s="782" t="s">
        <v>1065</v>
      </c>
      <c r="Z87" s="782" t="s">
        <v>1065</v>
      </c>
      <c r="AA87" s="782" t="s">
        <v>1077</v>
      </c>
      <c r="AB87" s="782" t="s">
        <v>1162</v>
      </c>
      <c r="AC87" s="44" t="s">
        <v>129</v>
      </c>
      <c r="AD87" s="44">
        <v>20511827</v>
      </c>
      <c r="AE87" s="44" t="s">
        <v>275</v>
      </c>
      <c r="AF87" s="45">
        <v>21889495</v>
      </c>
      <c r="AG87" s="44" t="s">
        <v>276</v>
      </c>
      <c r="AH87" s="43" t="s">
        <v>44</v>
      </c>
      <c r="AI87" s="781">
        <v>6557325247</v>
      </c>
      <c r="AJ87" s="45" t="s">
        <v>129</v>
      </c>
    </row>
    <row r="88" spans="25:36" ht="14.45" customHeight="1" x14ac:dyDescent="0.25">
      <c r="Y88" s="782" t="s">
        <v>1066</v>
      </c>
      <c r="Z88" s="782" t="s">
        <v>1066</v>
      </c>
      <c r="AA88" s="782" t="s">
        <v>1077</v>
      </c>
      <c r="AB88" s="782" t="s">
        <v>1163</v>
      </c>
      <c r="AC88" s="44" t="s">
        <v>129</v>
      </c>
      <c r="AD88" s="44">
        <v>20511827</v>
      </c>
      <c r="AE88" s="44" t="s">
        <v>275</v>
      </c>
      <c r="AF88" s="45">
        <v>21889495</v>
      </c>
      <c r="AG88" s="44" t="s">
        <v>276</v>
      </c>
      <c r="AH88" s="43" t="s">
        <v>44</v>
      </c>
      <c r="AI88" s="781">
        <v>3760506110</v>
      </c>
      <c r="AJ88" s="45" t="s">
        <v>129</v>
      </c>
    </row>
    <row r="89" spans="25:36" ht="14.45" customHeight="1" x14ac:dyDescent="0.25">
      <c r="Y89" s="782" t="s">
        <v>1067</v>
      </c>
      <c r="Z89" s="782" t="s">
        <v>1067</v>
      </c>
      <c r="AA89" s="785" t="s">
        <v>1077</v>
      </c>
      <c r="AB89" s="782" t="s">
        <v>1164</v>
      </c>
      <c r="AC89" s="44" t="s">
        <v>129</v>
      </c>
      <c r="AD89" s="44">
        <v>20511827</v>
      </c>
      <c r="AE89" s="44" t="s">
        <v>275</v>
      </c>
      <c r="AF89" s="45">
        <v>21889495</v>
      </c>
      <c r="AG89" s="44" t="s">
        <v>276</v>
      </c>
      <c r="AH89" s="43" t="s">
        <v>44</v>
      </c>
      <c r="AI89" s="781">
        <v>7481606585</v>
      </c>
      <c r="AJ89" s="45" t="s">
        <v>129</v>
      </c>
    </row>
    <row r="90" spans="25:36" ht="14.45" customHeight="1" x14ac:dyDescent="0.25">
      <c r="Y90" s="782" t="s">
        <v>1068</v>
      </c>
      <c r="Z90" s="782" t="s">
        <v>1068</v>
      </c>
      <c r="AA90" s="782" t="s">
        <v>1077</v>
      </c>
      <c r="AB90" s="782" t="s">
        <v>1165</v>
      </c>
      <c r="AC90" s="44" t="s">
        <v>129</v>
      </c>
      <c r="AD90" s="44">
        <v>20511827</v>
      </c>
      <c r="AE90" s="44" t="s">
        <v>275</v>
      </c>
      <c r="AF90" s="45">
        <v>21889495</v>
      </c>
      <c r="AG90" s="44" t="s">
        <v>276</v>
      </c>
      <c r="AH90" s="43" t="s">
        <v>44</v>
      </c>
      <c r="AI90" s="781">
        <v>4029610593</v>
      </c>
      <c r="AJ90" s="45" t="s">
        <v>129</v>
      </c>
    </row>
    <row r="91" spans="25:36" ht="14.45" customHeight="1" x14ac:dyDescent="0.25">
      <c r="Y91" s="782" t="s">
        <v>1069</v>
      </c>
      <c r="Z91" s="782" t="s">
        <v>1069</v>
      </c>
      <c r="AA91" s="782" t="s">
        <v>1077</v>
      </c>
      <c r="AB91" s="782" t="s">
        <v>1166</v>
      </c>
      <c r="AC91" s="44" t="s">
        <v>129</v>
      </c>
      <c r="AD91" s="44">
        <v>20511827</v>
      </c>
      <c r="AE91" s="44" t="s">
        <v>275</v>
      </c>
      <c r="AF91" s="45">
        <v>21889495</v>
      </c>
      <c r="AG91" s="44" t="s">
        <v>276</v>
      </c>
      <c r="AH91" s="43" t="s">
        <v>44</v>
      </c>
      <c r="AI91" s="781">
        <v>2910037668</v>
      </c>
      <c r="AJ91" s="45" t="s">
        <v>129</v>
      </c>
    </row>
    <row r="92" spans="25:36" ht="14.45" customHeight="1" x14ac:dyDescent="0.25">
      <c r="Y92" s="782" t="s">
        <v>1070</v>
      </c>
      <c r="Z92" s="782" t="s">
        <v>1070</v>
      </c>
      <c r="AA92" s="782" t="s">
        <v>1077</v>
      </c>
      <c r="AB92" s="782" t="s">
        <v>1167</v>
      </c>
      <c r="AC92" s="44" t="s">
        <v>129</v>
      </c>
      <c r="AD92" s="44">
        <v>20511827</v>
      </c>
      <c r="AE92" s="44" t="s">
        <v>275</v>
      </c>
      <c r="AF92" s="45">
        <v>21889495</v>
      </c>
      <c r="AG92" s="44" t="s">
        <v>276</v>
      </c>
      <c r="AH92" s="43" t="s">
        <v>44</v>
      </c>
      <c r="AI92" s="781">
        <v>7232300821</v>
      </c>
      <c r="AJ92" s="45" t="s">
        <v>129</v>
      </c>
    </row>
    <row r="93" spans="25:36" ht="14.45" customHeight="1" x14ac:dyDescent="0.25">
      <c r="Y93" s="782" t="s">
        <v>1071</v>
      </c>
      <c r="Z93" s="782" t="s">
        <v>1071</v>
      </c>
      <c r="AA93" s="782" t="s">
        <v>1078</v>
      </c>
      <c r="AB93" s="782" t="s">
        <v>1168</v>
      </c>
      <c r="AC93" s="44" t="s">
        <v>129</v>
      </c>
      <c r="AD93" s="44">
        <v>20511827</v>
      </c>
      <c r="AE93" s="44" t="s">
        <v>275</v>
      </c>
      <c r="AF93" s="45">
        <v>21889495</v>
      </c>
      <c r="AG93" s="44" t="s">
        <v>276</v>
      </c>
      <c r="AH93" s="43" t="s">
        <v>44</v>
      </c>
      <c r="AI93" s="781">
        <v>1277223606</v>
      </c>
      <c r="AJ93" s="45" t="s">
        <v>129</v>
      </c>
    </row>
    <row r="94" spans="25:36" ht="14.45" customHeight="1" x14ac:dyDescent="0.25">
      <c r="Y94" s="782" t="s">
        <v>1072</v>
      </c>
      <c r="Z94" s="782" t="s">
        <v>1072</v>
      </c>
      <c r="AA94" s="782" t="s">
        <v>1079</v>
      </c>
      <c r="AB94" s="782" t="s">
        <v>1169</v>
      </c>
      <c r="AC94" s="44" t="s">
        <v>129</v>
      </c>
      <c r="AD94" s="44">
        <v>20511827</v>
      </c>
      <c r="AE94" s="44" t="s">
        <v>275</v>
      </c>
      <c r="AF94" s="45">
        <v>21889495</v>
      </c>
      <c r="AG94" s="44" t="s">
        <v>276</v>
      </c>
      <c r="AH94" s="43" t="s">
        <v>44</v>
      </c>
      <c r="AI94" s="781">
        <v>7614421780</v>
      </c>
      <c r="AJ94" s="45" t="s">
        <v>129</v>
      </c>
    </row>
    <row r="95" spans="25:36" ht="14.45" customHeight="1" x14ac:dyDescent="0.25">
      <c r="Y95" s="782" t="s">
        <v>1073</v>
      </c>
      <c r="Z95" s="782" t="s">
        <v>1073</v>
      </c>
      <c r="AA95" s="782" t="s">
        <v>1077</v>
      </c>
      <c r="AB95" s="782" t="s">
        <v>1170</v>
      </c>
      <c r="AC95" s="44" t="s">
        <v>129</v>
      </c>
      <c r="AD95" s="44">
        <v>20511827</v>
      </c>
      <c r="AE95" s="44" t="s">
        <v>275</v>
      </c>
      <c r="AF95" s="45">
        <v>21889495</v>
      </c>
      <c r="AG95" s="44" t="s">
        <v>276</v>
      </c>
      <c r="AH95" s="43" t="s">
        <v>44</v>
      </c>
      <c r="AI95" s="781">
        <v>7930751576</v>
      </c>
      <c r="AJ95" s="45" t="s">
        <v>129</v>
      </c>
    </row>
    <row r="96" spans="25:36" ht="14.45" customHeight="1" x14ac:dyDescent="0.25">
      <c r="Y96" s="782" t="s">
        <v>1074</v>
      </c>
      <c r="Z96" s="782" t="s">
        <v>1074</v>
      </c>
      <c r="AA96" s="782" t="s">
        <v>1077</v>
      </c>
      <c r="AB96" s="782" t="s">
        <v>1171</v>
      </c>
      <c r="AC96" s="44" t="s">
        <v>129</v>
      </c>
      <c r="AD96" s="44">
        <v>20511827</v>
      </c>
      <c r="AE96" s="44" t="s">
        <v>275</v>
      </c>
      <c r="AF96" s="45">
        <v>21889495</v>
      </c>
      <c r="AG96" s="44" t="s">
        <v>276</v>
      </c>
      <c r="AH96" s="43" t="s">
        <v>44</v>
      </c>
      <c r="AI96" s="781">
        <v>8304228668</v>
      </c>
      <c r="AJ96" s="45" t="s">
        <v>129</v>
      </c>
    </row>
    <row r="97" spans="25:36" ht="14.45" customHeight="1" x14ac:dyDescent="0.25">
      <c r="Y97" s="782" t="s">
        <v>1075</v>
      </c>
      <c r="Z97" s="782" t="s">
        <v>1075</v>
      </c>
      <c r="AA97" s="782" t="s">
        <v>1077</v>
      </c>
      <c r="AB97" s="782" t="s">
        <v>1172</v>
      </c>
      <c r="AC97" s="44" t="s">
        <v>129</v>
      </c>
      <c r="AD97" s="44">
        <v>20511827</v>
      </c>
      <c r="AE97" s="44" t="s">
        <v>275</v>
      </c>
      <c r="AF97" s="45">
        <v>21889495</v>
      </c>
      <c r="AG97" s="44" t="s">
        <v>276</v>
      </c>
      <c r="AH97" s="43" t="s">
        <v>44</v>
      </c>
      <c r="AI97" s="781">
        <v>4156731477</v>
      </c>
      <c r="AJ97" s="45" t="s">
        <v>129</v>
      </c>
    </row>
    <row r="98" spans="25:36" ht="14.45" customHeight="1" x14ac:dyDescent="0.25">
      <c r="Y98" s="782" t="s">
        <v>1076</v>
      </c>
      <c r="Z98" s="782" t="s">
        <v>1076</v>
      </c>
      <c r="AA98" s="782" t="s">
        <v>1077</v>
      </c>
      <c r="AB98" s="782" t="s">
        <v>1173</v>
      </c>
      <c r="AC98" s="44" t="s">
        <v>129</v>
      </c>
      <c r="AD98" s="44">
        <v>20511827</v>
      </c>
      <c r="AE98" s="44" t="s">
        <v>275</v>
      </c>
      <c r="AF98" s="45">
        <v>21889495</v>
      </c>
      <c r="AG98" s="44" t="s">
        <v>276</v>
      </c>
      <c r="AH98" s="43" t="s">
        <v>44</v>
      </c>
      <c r="AI98" s="781">
        <v>1224003436</v>
      </c>
      <c r="AJ98" s="45" t="s">
        <v>129</v>
      </c>
    </row>
    <row r="99" spans="25:36" ht="14.45" customHeight="1" x14ac:dyDescent="0.25">
      <c r="Y99" s="30" t="s">
        <v>44</v>
      </c>
      <c r="Z99" s="30" t="s">
        <v>44</v>
      </c>
      <c r="AA99" s="30" t="s">
        <v>44</v>
      </c>
      <c r="AB99" s="30" t="s">
        <v>44</v>
      </c>
      <c r="AC99" s="30" t="s">
        <v>44</v>
      </c>
      <c r="AD99" s="30" t="s">
        <v>44</v>
      </c>
      <c r="AE99" s="30" t="s">
        <v>44</v>
      </c>
      <c r="AF99" s="30" t="s">
        <v>44</v>
      </c>
      <c r="AG99" s="30" t="s">
        <v>44</v>
      </c>
      <c r="AH99" s="30" t="s">
        <v>44</v>
      </c>
      <c r="AI99" s="30" t="s">
        <v>44</v>
      </c>
      <c r="AJ99" s="30" t="s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17</vt:i4>
      </vt:variant>
      <vt:variant>
        <vt:lpstr>Névvel ellátott tartományok</vt:lpstr>
      </vt:variant>
      <vt:variant>
        <vt:i4>14</vt:i4>
      </vt:variant>
    </vt:vector>
  </HeadingPairs>
  <TitlesOfParts>
    <vt:vector size="31" baseType="lpstr">
      <vt:lpstr>Minták</vt:lpstr>
      <vt:lpstr>HUMVI</vt:lpstr>
      <vt:lpstr>MV</vt:lpstr>
      <vt:lpstr>MVj</vt:lpstr>
      <vt:lpstr>NH4</vt:lpstr>
      <vt:lpstr>NO3</vt:lpstr>
      <vt:lpstr>NO2</vt:lpstr>
      <vt:lpstr>Fe</vt:lpstr>
      <vt:lpstr>Mn</vt:lpstr>
      <vt:lpstr>pH,EC</vt:lpstr>
      <vt:lpstr>KOIps</vt:lpstr>
      <vt:lpstr>Cl</vt:lpstr>
      <vt:lpstr>Lúgosság</vt:lpstr>
      <vt:lpstr>ÖK</vt:lpstr>
      <vt:lpstr>SO4</vt:lpstr>
      <vt:lpstr>TEMP</vt:lpstr>
      <vt:lpstr>mintahelyek</vt:lpstr>
      <vt:lpstr>Cl!Nyomtatási_terület</vt:lpstr>
      <vt:lpstr>Fe!Nyomtatási_terület</vt:lpstr>
      <vt:lpstr>KOIps!Nyomtatási_terület</vt:lpstr>
      <vt:lpstr>Lúgosság!Nyomtatási_terület</vt:lpstr>
      <vt:lpstr>Minták!Nyomtatási_terület</vt:lpstr>
      <vt:lpstr>Mn!Nyomtatási_terület</vt:lpstr>
      <vt:lpstr>MV!Nyomtatási_terület</vt:lpstr>
      <vt:lpstr>MVj!Nyomtatási_terület</vt:lpstr>
      <vt:lpstr>'NH4'!Nyomtatási_terület</vt:lpstr>
      <vt:lpstr>'NO2'!Nyomtatási_terület</vt:lpstr>
      <vt:lpstr>'NO3'!Nyomtatási_terület</vt:lpstr>
      <vt:lpstr>ÖK!Nyomtatási_terület</vt:lpstr>
      <vt:lpstr>'pH,EC'!Nyomtatási_terület</vt:lpstr>
      <vt:lpstr>'SO4'!Nyomtatási_terület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2024-11-19T12:05:40Z</dcterms:modified>
</cp:coreProperties>
</file>